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RESUME\"/>
    </mc:Choice>
  </mc:AlternateContent>
  <xr:revisionPtr revIDLastSave="0" documentId="13_ncr:1_{64D99C9C-5983-4E35-B14C-94C922F7E971}" xr6:coauthVersionLast="47" xr6:coauthVersionMax="47" xr10:uidLastSave="{00000000-0000-0000-0000-000000000000}"/>
  <bookViews>
    <workbookView xWindow="-108" yWindow="-108" windowWidth="23256" windowHeight="12456" tabRatio="500" firstSheet="6" activeTab="7" xr2:uid="{00000000-000D-0000-FFFF-FFFF00000000}"/>
  </bookViews>
  <sheets>
    <sheet name="Raw_Sales_Data" sheetId="1" r:id="rId1"/>
    <sheet name="Data_Dictionary" sheetId="2" r:id="rId2"/>
    <sheet name="README" sheetId="3" r:id="rId3"/>
    <sheet name="Clean_Data" sheetId="4" r:id="rId4"/>
    <sheet name="Pivot_Data" sheetId="6" r:id="rId5"/>
    <sheet name="Daiily_MIs_Report" sheetId="5" r:id="rId6"/>
    <sheet name="Weekly_MIS_Report" sheetId="7" r:id="rId7"/>
    <sheet name="Monthly_Wise_Report" sheetId="8" r:id="rId8"/>
    <sheet name="Dashboard" sheetId="11" r:id="rId9"/>
  </sheets>
  <definedNames>
    <definedName name="ExternalData_1" localSheetId="3" hidden="1">Clean_Data!$A$1:$K$528</definedName>
    <definedName name="Slicer_Category">#N/A</definedName>
    <definedName name="Slicer_Region">#N/A</definedName>
    <definedName name="Slicer_Salesman_Name">#N/A</definedName>
  </definedNames>
  <calcPr calcId="191029" iterateDelta="1E-4"/>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55" i="11" l="1"/>
  <c r="T54" i="11"/>
  <c r="T57" i="11" a="1"/>
  <c r="T57" i="11" s="1"/>
  <c r="T56" i="11"/>
  <c r="M4" i="4"/>
  <c r="B17" i="7"/>
  <c r="B21" i="8"/>
  <c r="B22" i="8"/>
  <c r="B23" i="8"/>
  <c r="B24" i="8"/>
  <c r="B20" i="8"/>
  <c r="B17" i="8"/>
  <c r="B16" i="8"/>
  <c r="B15" i="8"/>
  <c r="B12" i="7"/>
  <c r="B14" i="8"/>
  <c r="B13" i="8"/>
  <c r="B12" i="8"/>
  <c r="B11" i="8"/>
  <c r="B10" i="8"/>
  <c r="B9" i="8"/>
  <c r="B8" i="8"/>
  <c r="B11" i="7"/>
  <c r="B24" i="7" s="1"/>
  <c r="B8" i="7"/>
  <c r="B22" i="7" s="1"/>
  <c r="B7" i="8"/>
  <c r="B7" i="7"/>
  <c r="B18" i="7"/>
  <c r="B19" i="7"/>
  <c r="B23" i="7"/>
  <c r="G4" i="7"/>
  <c r="G3" i="7"/>
  <c r="B14" i="7"/>
  <c r="B13" i="7"/>
  <c r="B10" i="7"/>
  <c r="B9" i="7"/>
  <c r="B6" i="5"/>
  <c r="B12" i="5"/>
  <c r="B11" i="5"/>
  <c r="B10" i="5"/>
  <c r="B9" i="5"/>
  <c r="B8" i="5"/>
  <c r="B7" i="5"/>
  <c r="B33" i="8"/>
  <c r="B32" i="8"/>
  <c r="B31" i="8"/>
  <c r="B30" i="8"/>
  <c r="B29" i="8"/>
  <c r="B28" i="8"/>
  <c r="B27" i="8"/>
  <c r="B21" i="7" l="1"/>
  <c r="B2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0BD129-7B4F-4BCC-A0FA-75E0A3891FE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<sst xmlns="http://schemas.openxmlformats.org/spreadsheetml/2006/main" count="7269" uniqueCount="192">
  <si>
    <t>Date</t>
  </si>
  <si>
    <t>Salesman_Name</t>
  </si>
  <si>
    <t>Region</t>
  </si>
  <si>
    <t>Product</t>
  </si>
  <si>
    <t>Category</t>
  </si>
  <si>
    <t>Quantity</t>
  </si>
  <si>
    <t>Unit_Price</t>
  </si>
  <si>
    <t>Total_Sales</t>
  </si>
  <si>
    <t>Payment_Mode</t>
  </si>
  <si>
    <t>Status</t>
  </si>
  <si>
    <t>Remarks</t>
  </si>
  <si>
    <t>Kavita Joshi</t>
  </si>
  <si>
    <t>West</t>
  </si>
  <si>
    <t>Lifebuoy</t>
  </si>
  <si>
    <t>Healthcare</t>
  </si>
  <si>
    <t>Cash</t>
  </si>
  <si>
    <t>Delivered</t>
  </si>
  <si>
    <t>Urgent delivery</t>
  </si>
  <si>
    <t>Suresh Patel</t>
  </si>
  <si>
    <t>East</t>
  </si>
  <si>
    <t>Sunita Rao</t>
  </si>
  <si>
    <t>Parle-G</t>
  </si>
  <si>
    <t>Biscuits</t>
  </si>
  <si>
    <t>NEFT</t>
  </si>
  <si>
    <t>New customer</t>
  </si>
  <si>
    <t>Priya Sharma</t>
  </si>
  <si>
    <t>Colgate</t>
  </si>
  <si>
    <t>Personal Care</t>
  </si>
  <si>
    <t>Cheque</t>
  </si>
  <si>
    <t>Pending</t>
  </si>
  <si>
    <t>North</t>
  </si>
  <si>
    <t>Yippee</t>
  </si>
  <si>
    <t>Noodles</t>
  </si>
  <si>
    <t>Return item</t>
  </si>
  <si>
    <t>Deepak Verma</t>
  </si>
  <si>
    <t>Maggi</t>
  </si>
  <si>
    <t>Neha Gupta</t>
  </si>
  <si>
    <t>Credit</t>
  </si>
  <si>
    <t>South</t>
  </si>
  <si>
    <t>Amul Butter</t>
  </si>
  <si>
    <t>Dairy</t>
  </si>
  <si>
    <t>UPI</t>
  </si>
  <si>
    <t>Bulk order</t>
  </si>
  <si>
    <t>Ariel</t>
  </si>
  <si>
    <t>Detergent</t>
  </si>
  <si>
    <t>Central</t>
  </si>
  <si>
    <t>Follow up needed</t>
  </si>
  <si>
    <t>Cancelled</t>
  </si>
  <si>
    <t>Dettol</t>
  </si>
  <si>
    <t>Bisleri</t>
  </si>
  <si>
    <t>Beverages</t>
  </si>
  <si>
    <t>ravi kumar</t>
  </si>
  <si>
    <t>Pepsodent</t>
  </si>
  <si>
    <t>Amit Singh</t>
  </si>
  <si>
    <t>Tide</t>
  </si>
  <si>
    <t>delivered</t>
  </si>
  <si>
    <t>Ravi Kumar</t>
  </si>
  <si>
    <t>pending</t>
  </si>
  <si>
    <t>Britannia</t>
  </si>
  <si>
    <t>Nestea</t>
  </si>
  <si>
    <t>Surf Excel</t>
  </si>
  <si>
    <t>DELIVERED</t>
  </si>
  <si>
    <t xml:space="preserve">Ravi Kumar  </t>
  </si>
  <si>
    <t xml:space="preserve">Sunita Rao  </t>
  </si>
  <si>
    <t>priya sharma</t>
  </si>
  <si>
    <t>deepak verma</t>
  </si>
  <si>
    <t xml:space="preserve">Priya Sharma  </t>
  </si>
  <si>
    <t>Deliverd</t>
  </si>
  <si>
    <t xml:space="preserve">Suresh Patel  </t>
  </si>
  <si>
    <t>Cancell</t>
  </si>
  <si>
    <t>PENDING</t>
  </si>
  <si>
    <t xml:space="preserve">Neha Gupta  </t>
  </si>
  <si>
    <t xml:space="preserve">Deepak Verma  </t>
  </si>
  <si>
    <t xml:space="preserve">Amit Singh  </t>
  </si>
  <si>
    <t>neha gupta</t>
  </si>
  <si>
    <t>amit singh</t>
  </si>
  <si>
    <t>sunita rao</t>
  </si>
  <si>
    <t>kavita joshi</t>
  </si>
  <si>
    <t>28/06/2025</t>
  </si>
  <si>
    <t>28/02/2025</t>
  </si>
  <si>
    <t>17/03/2025</t>
  </si>
  <si>
    <t>18/05/2025</t>
  </si>
  <si>
    <t>03/04/2025</t>
  </si>
  <si>
    <t>05/02/2025</t>
  </si>
  <si>
    <t>23/05/2025</t>
  </si>
  <si>
    <t>23/01/2025</t>
  </si>
  <si>
    <t>24/02/2025</t>
  </si>
  <si>
    <t>25/03/2025</t>
  </si>
  <si>
    <t>21/05/2025</t>
  </si>
  <si>
    <t>10/04/2025</t>
  </si>
  <si>
    <t>14/02/2025</t>
  </si>
  <si>
    <t>30/05/2025</t>
  </si>
  <si>
    <t>12/03/2025</t>
  </si>
  <si>
    <t>05/03/2025</t>
  </si>
  <si>
    <t>29/06/2025</t>
  </si>
  <si>
    <t>26/04/2025</t>
  </si>
  <si>
    <t>10/01/2025</t>
  </si>
  <si>
    <t>15/03/2025</t>
  </si>
  <si>
    <t>29/04/2025</t>
  </si>
  <si>
    <t>19/03/2025</t>
  </si>
  <si>
    <t>26/06/2025</t>
  </si>
  <si>
    <t>05/05/2025</t>
  </si>
  <si>
    <t>01/04/2025</t>
  </si>
  <si>
    <t>06/01/2025</t>
  </si>
  <si>
    <t>Column Name</t>
  </si>
  <si>
    <t>Description</t>
  </si>
  <si>
    <t>Data Type</t>
  </si>
  <si>
    <t>Example</t>
  </si>
  <si>
    <t>Transaction date</t>
  </si>
  <si>
    <t>Date (DD-MM-YYYY)</t>
  </si>
  <si>
    <t>01-01-2025</t>
  </si>
  <si>
    <t>Name of salesperson</t>
  </si>
  <si>
    <t>Text</t>
  </si>
  <si>
    <t>Sales territory</t>
  </si>
  <si>
    <t>Product name</t>
  </si>
  <si>
    <t>Product category</t>
  </si>
  <si>
    <t>Units sold</t>
  </si>
  <si>
    <t>Number</t>
  </si>
  <si>
    <t>50</t>
  </si>
  <si>
    <t>Price per unit (INR)</t>
  </si>
  <si>
    <t>120.00</t>
  </si>
  <si>
    <t>Qty × Unit_Price</t>
  </si>
  <si>
    <t>6000.00</t>
  </si>
  <si>
    <t>Mode of payment</t>
  </si>
  <si>
    <t>Cash/UPI/Credit/Cheque/NEFT</t>
  </si>
  <si>
    <t>Delivery status</t>
  </si>
  <si>
    <t>Delivered/Pending/Cancelled</t>
  </si>
  <si>
    <t>Additional notes</t>
  </si>
  <si>
    <t>Aryan Traders Pvt. Ltd. — MIS Project</t>
  </si>
  <si>
    <t>Project Overview</t>
  </si>
  <si>
    <t>Company: Aryan Traders Pvt. Ltd. (FMCG Distributor)</t>
  </si>
  <si>
    <t>Period: January 2025 – June 2025</t>
  </si>
  <si>
    <t>Total Raw Records: 550 rows</t>
  </si>
  <si>
    <t>Steps to Complete This MIS Project:</t>
  </si>
  <si>
    <t>STEP 1 → Use Power Query to clean Raw_Sales_Data (fix dates, status, blank values)</t>
  </si>
  <si>
    <t>STEP 2 → Build Daily MIS Report sheet</t>
  </si>
  <si>
    <t>STEP 3 → Build Weekly MIS Report sheet</t>
  </si>
  <si>
    <t>STEP 4 → Build Monthly MIS Report sheet</t>
  </si>
  <si>
    <t>STEP 5 → Build KPI Summary sheet</t>
  </si>
  <si>
    <t>STEP 6 → Build Dashboard with charts and slicers</t>
  </si>
  <si>
    <t>Known Data Issues to Fix in Power Query:</t>
  </si>
  <si>
    <t>• Some dates are in text format (DD/MM/YYYY) instead of date type</t>
  </si>
  <si>
    <t>• Status column has inconsistent values (delivered, DELIVERED, Deliverd etc.)</t>
  </si>
  <si>
    <t>• Some Quantity and Unit_Price values are blank/null</t>
  </si>
  <si>
    <t>• Some Salesman names have extra spaces or are in lowercase</t>
  </si>
  <si>
    <t>• Total_Sales may be blank where Qty or Price is missing</t>
  </si>
  <si>
    <t>Urgent Delivery</t>
  </si>
  <si>
    <t>Neft</t>
  </si>
  <si>
    <t>New Customer</t>
  </si>
  <si>
    <t>Return Item</t>
  </si>
  <si>
    <t>Upi</t>
  </si>
  <si>
    <t>Bulk Order</t>
  </si>
  <si>
    <t>Follow Up Needed</t>
  </si>
  <si>
    <t>Aryan Traders Pvt. Ltd.</t>
  </si>
  <si>
    <t>Daily MIS Report</t>
  </si>
  <si>
    <t>Metric</t>
  </si>
  <si>
    <t>Value</t>
  </si>
  <si>
    <t>Total Sales</t>
  </si>
  <si>
    <t>Total Orders</t>
  </si>
  <si>
    <t>Pending Orders</t>
  </si>
  <si>
    <t>Cancelled Orders</t>
  </si>
  <si>
    <t>Top Salesperson</t>
  </si>
  <si>
    <t>Top Product</t>
  </si>
  <si>
    <t>Delivered Orders</t>
  </si>
  <si>
    <t>Row Labels</t>
  </si>
  <si>
    <t>Grand Total</t>
  </si>
  <si>
    <t>Sum of Total_Sales</t>
  </si>
  <si>
    <t>Jan</t>
  </si>
  <si>
    <t>Feb</t>
  </si>
  <si>
    <t>Mar</t>
  </si>
  <si>
    <t>Apr</t>
  </si>
  <si>
    <t>May</t>
  </si>
  <si>
    <t>Jun</t>
  </si>
  <si>
    <t>Weekly MIS Report</t>
  </si>
  <si>
    <t>Best Salesman</t>
  </si>
  <si>
    <t>Best Product</t>
  </si>
  <si>
    <t>Best Region</t>
  </si>
  <si>
    <t>Sales Person</t>
  </si>
  <si>
    <t>Sales</t>
  </si>
  <si>
    <t>Sales_Total</t>
  </si>
  <si>
    <t>Monthly Wise Report</t>
  </si>
  <si>
    <t xml:space="preserve">KPI Metric </t>
  </si>
  <si>
    <t>Total Revenue</t>
  </si>
  <si>
    <t>Delivery Rate(%)</t>
  </si>
  <si>
    <t xml:space="preserve">Avg Order Value </t>
  </si>
  <si>
    <t>Cancellation Rate (%)</t>
  </si>
  <si>
    <t xml:space="preserve">Sales </t>
  </si>
  <si>
    <t>region_name</t>
  </si>
  <si>
    <t>Week  Start Date:</t>
  </si>
  <si>
    <t>Week End Date:</t>
  </si>
  <si>
    <t>Month Start Date:</t>
  </si>
  <si>
    <t>Month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</si>
</sst>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quot;₹&quot;\ #,##0.00"/>
    <numFmt numFmtId="166" formatCode="0.0%"/>
    <numFmt numFmtId="167" formatCode="&quot;₹&quot;\ #,##0"/>
  </numFmts>
  <fonts count="16" x14ac:knownFonts="1">
    <font>
      <sz val="11"/>
      <color theme="1"/>
      <name val="Calibri"/>
      <family val="2"/>
      <charset val="1"/>
    </font>
    <font>
      <b/>
      <sz val="11"/>
      <color rgb="FFFFFFFF"/>
      <name val="Arial"/>
      <charset val="1"/>
    </font>
    <font>
      <sz val="10"/>
      <name val="Arial"/>
      <charset val="1"/>
    </font>
    <font>
      <b/>
      <sz val="14"/>
      <color rgb="FF2E4057"/>
      <name val="Arial"/>
      <charset val="1"/>
    </font>
    <font>
      <b/>
      <sz val="12"/>
      <name val="Arial"/>
      <charset val="1"/>
    </font>
    <font>
      <b/>
      <sz val="11"/>
      <color theme="1"/>
      <name val="Calibri"/>
      <family val="2"/>
    </font>
    <font>
      <b/>
      <sz val="14"/>
      <color theme="1"/>
      <name val="Calibri"/>
      <family val="2"/>
    </font>
    <font>
      <b/>
      <sz val="16"/>
      <color theme="1"/>
      <name val="Calibri"/>
      <family val="2"/>
    </font>
    <font>
      <b/>
      <sz val="16"/>
      <color theme="3" tint="-0.249977111117893"/>
      <name val="Calibri"/>
      <family val="2"/>
    </font>
    <font>
      <sz val="12"/>
      <color theme="1" tint="4.9989318521683403E-2"/>
      <name val="Calibri"/>
      <family val="2"/>
      <charset val="1"/>
    </font>
    <font>
      <sz val="14"/>
      <color theme="1"/>
      <name val="Calibri"/>
      <family val="2"/>
      <charset val="1"/>
    </font>
    <font>
      <sz val="14"/>
      <color theme="0"/>
      <name val="Calibri"/>
      <family val="2"/>
      <charset val="1"/>
    </font>
    <font>
      <b/>
      <sz val="16"/>
      <color theme="8" tint="-0.499984740745262"/>
      <name val="Calibri"/>
      <family val="2"/>
    </font>
    <font>
      <sz val="11"/>
      <color theme="0"/>
      <name val="Calibri"/>
      <family val="2"/>
      <charset val="1"/>
    </font>
    <font>
      <b/>
      <sz val="11"/>
      <color theme="0"/>
      <name val="Calibri"/>
      <family val="2"/>
    </font>
    <font>
      <sz val="11"/>
      <color theme="1" tint="0.14999847407452621"/>
      <name val="Calibri"/>
      <family val="2"/>
      <charset val="1"/>
    </font>
  </fonts>
  <fills count="17">
    <fill>
      <patternFill patternType="none"/>
    </fill>
    <fill>
      <patternFill patternType="gray125"/>
    </fill>
    <fill>
      <patternFill patternType="solid">
        <fgColor rgb="FF2E4057"/>
        <bgColor rgb="FF1B4332"/>
      </patternFill>
    </fill>
    <fill>
      <patternFill patternType="solid">
        <fgColor rgb="FFF0F4F8"/>
        <bgColor rgb="FFFFFFFF"/>
      </patternFill>
    </fill>
    <fill>
      <patternFill patternType="solid">
        <fgColor rgb="FF1B4332"/>
        <bgColor rgb="FF2E4057"/>
      </patternFill>
    </fill>
    <fill>
      <patternFill patternType="solid">
        <fgColor theme="3" tint="-0.249977111117893"/>
        <bgColor indexed="64"/>
      </patternFill>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theme="7" tint="-0.249977111117893"/>
        <bgColor indexed="64"/>
      </patternFill>
    </fill>
    <fill>
      <patternFill patternType="solid">
        <fgColor rgb="FF92D050"/>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
      <patternFill patternType="solid">
        <fgColor rgb="FF0D1B2A"/>
        <bgColor indexed="64"/>
      </patternFill>
    </fill>
    <fill>
      <patternFill patternType="solid">
        <fgColor rgb="FF11182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2" borderId="0" xfId="0" applyFont="1" applyFill="1" applyAlignment="1">
      <alignment horizontal="center"/>
    </xf>
    <xf numFmtId="164" fontId="2" fillId="3" borderId="0" xfId="0" applyNumberFormat="1" applyFont="1" applyFill="1"/>
    <xf numFmtId="0" fontId="2" fillId="3" borderId="0" xfId="0" applyFont="1" applyFill="1"/>
    <xf numFmtId="164" fontId="2" fillId="0" borderId="0" xfId="0" applyNumberFormat="1" applyFont="1"/>
    <xf numFmtId="0" fontId="2" fillId="0" borderId="0" xfId="0" applyFont="1"/>
    <xf numFmtId="0" fontId="1" fillId="4" borderId="0" xfId="0" applyFont="1" applyFill="1" applyAlignment="1">
      <alignment horizontal="center"/>
    </xf>
    <xf numFmtId="0" fontId="3" fillId="0" borderId="0" xfId="0" applyFont="1"/>
    <xf numFmtId="0" fontId="4" fillId="0" borderId="0" xfId="0" applyFont="1"/>
    <xf numFmtId="14"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5" borderId="1" xfId="0"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12" fillId="6" borderId="0" xfId="0" applyFont="1" applyFill="1"/>
    <xf numFmtId="0" fontId="13" fillId="5" borderId="0" xfId="0" applyFont="1" applyFill="1" applyAlignment="1">
      <alignment horizontal="center" vertical="center"/>
    </xf>
    <xf numFmtId="0" fontId="13" fillId="7" borderId="1" xfId="0" applyFont="1" applyFill="1" applyBorder="1" applyAlignment="1">
      <alignment horizontal="center" vertical="center"/>
    </xf>
    <xf numFmtId="0" fontId="0" fillId="0" borderId="1" xfId="0" applyBorder="1" applyAlignment="1">
      <alignment horizontal="left"/>
    </xf>
    <xf numFmtId="165" fontId="0" fillId="0" borderId="1" xfId="0" applyNumberFormat="1" applyBorder="1"/>
    <xf numFmtId="0" fontId="0" fillId="8" borderId="0" xfId="0" applyFill="1"/>
    <xf numFmtId="165" fontId="0" fillId="8" borderId="0" xfId="0" applyNumberFormat="1" applyFill="1"/>
    <xf numFmtId="0" fontId="0" fillId="0" borderId="1" xfId="0" applyBorder="1"/>
    <xf numFmtId="166" fontId="0" fillId="0" borderId="1" xfId="0" applyNumberFormat="1" applyBorder="1"/>
    <xf numFmtId="0" fontId="14" fillId="7" borderId="1" xfId="0" applyFont="1" applyFill="1" applyBorder="1" applyAlignment="1">
      <alignment horizontal="center" vertical="center"/>
    </xf>
    <xf numFmtId="0" fontId="14" fillId="9" borderId="1" xfId="0" applyFont="1" applyFill="1" applyBorder="1" applyAlignment="1">
      <alignment horizontal="center" vertical="center"/>
    </xf>
    <xf numFmtId="0" fontId="0" fillId="8" borderId="1" xfId="0" applyFill="1" applyBorder="1"/>
    <xf numFmtId="165" fontId="0" fillId="8" borderId="1" xfId="0" applyNumberFormat="1" applyFill="1" applyBorder="1"/>
    <xf numFmtId="166" fontId="0" fillId="8" borderId="1" xfId="0" applyNumberFormat="1" applyFill="1" applyBorder="1"/>
    <xf numFmtId="0" fontId="14" fillId="10" borderId="1" xfId="0" applyFont="1" applyFill="1" applyBorder="1" applyAlignment="1">
      <alignment horizontal="center" vertical="center"/>
    </xf>
    <xf numFmtId="0" fontId="0" fillId="11" borderId="1" xfId="0" applyFill="1" applyBorder="1"/>
    <xf numFmtId="165" fontId="0" fillId="11" borderId="1" xfId="0" applyNumberFormat="1" applyFill="1" applyBorder="1"/>
    <xf numFmtId="0" fontId="0" fillId="12" borderId="1" xfId="0" applyFill="1" applyBorder="1"/>
    <xf numFmtId="165" fontId="0" fillId="12" borderId="1" xfId="0" applyNumberFormat="1" applyFill="1" applyBorder="1"/>
    <xf numFmtId="14" fontId="0" fillId="13" borderId="0" xfId="0" applyNumberFormat="1" applyFill="1"/>
    <xf numFmtId="14" fontId="5" fillId="13" borderId="0" xfId="0" applyNumberFormat="1" applyFont="1" applyFill="1"/>
    <xf numFmtId="0" fontId="15" fillId="14" borderId="1" xfId="0" applyFont="1" applyFill="1" applyBorder="1"/>
    <xf numFmtId="165" fontId="15" fillId="14" borderId="1" xfId="0" applyNumberFormat="1" applyFont="1" applyFill="1" applyBorder="1"/>
    <xf numFmtId="0" fontId="0" fillId="15" borderId="0" xfId="0" applyFill="1"/>
    <xf numFmtId="0" fontId="0" fillId="16" borderId="0" xfId="0" applyFill="1"/>
    <xf numFmtId="165" fontId="0" fillId="15" borderId="0" xfId="0" applyNumberFormat="1" applyFill="1"/>
    <xf numFmtId="10" fontId="0" fillId="15" borderId="0" xfId="0" applyNumberFormat="1" applyFill="1"/>
    <xf numFmtId="167" fontId="0" fillId="0" borderId="0" xfId="0" applyNumberFormat="1"/>
    <xf numFmtId="3" fontId="0" fillId="0" borderId="0" xfId="0" applyNumberFormat="1"/>
    <xf numFmtId="165" fontId="2" fillId="3" borderId="0" xfId="0" applyNumberFormat="1" applyFont="1" applyFill="1"/>
    <xf numFmtId="165" fontId="2" fillId="0" borderId="0" xfId="0" applyNumberFormat="1" applyFont="1"/>
    <xf numFmtId="165" fontId="1" fillId="2" borderId="0" xfId="0" applyNumberFormat="1" applyFont="1" applyFill="1" applyAlignment="1">
      <alignment horizontal="center"/>
    </xf>
  </cellXfs>
  <cellStyles count="1">
    <cellStyle name="Normal" xfId="0" builtinId="0"/>
  </cellStyles>
  <dxfs count="39">
    <dxf>
      <font>
        <b val="0"/>
        <i val="0"/>
        <strike val="0"/>
        <condense val="0"/>
        <extend val="0"/>
        <outline val="0"/>
        <shadow val="0"/>
        <u val="none"/>
        <vertAlign val="baseline"/>
        <sz val="10"/>
        <color auto="1"/>
        <name val="Arial"/>
        <charset val="1"/>
        <scheme val="none"/>
      </font>
      <numFmt numFmtId="165" formatCode="&quot;₹&quot;\ #,##0.00"/>
    </dxf>
    <dxf>
      <font>
        <b val="0"/>
        <i val="0"/>
        <strike val="0"/>
        <condense val="0"/>
        <extend val="0"/>
        <outline val="0"/>
        <shadow val="0"/>
        <u val="none"/>
        <vertAlign val="baseline"/>
        <sz val="10"/>
        <color auto="1"/>
        <name val="Arial"/>
        <charset val="1"/>
        <scheme val="none"/>
      </font>
      <numFmt numFmtId="165" formatCode="&quot;₹&quot;\ #,##0.0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1"/>
        <color rgb="FFFFFFFF"/>
        <name val="Arial"/>
        <charset val="1"/>
        <scheme val="none"/>
      </font>
      <fill>
        <patternFill patternType="solid">
          <fgColor rgb="FF1B4332"/>
          <bgColor rgb="FF2E4057"/>
        </patternFill>
      </fill>
      <alignment horizontal="center" vertical="bottom" textRotation="0" wrapText="0" indent="0" justifyLastLine="0" shrinkToFit="0" readingOrder="0"/>
    </dxf>
    <dxf>
      <numFmt numFmtId="165" formatCode="&quot;₹&quot;\ #,##0.00"/>
    </dxf>
    <dxf>
      <numFmt numFmtId="165" formatCode="&quot;₹&quot;\ #,##0.00"/>
    </dxf>
    <dxf>
      <numFmt numFmtId="167" formatCode="&quot;₹&quot;\ #,##0"/>
    </dxf>
    <dxf>
      <numFmt numFmtId="3" formatCode="#,##0"/>
    </dxf>
    <dxf>
      <numFmt numFmtId="3" formatCode="#,##0"/>
    </dxf>
    <dxf>
      <numFmt numFmtId="167" formatCode="&quot;₹&quot;\ #,##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font>
    </dxf>
    <dxf>
      <fill>
        <patternFill patternType="solid">
          <fgColor auto="1"/>
          <bgColor rgb="FF92D050"/>
        </patternFill>
      </fill>
    </dxf>
    <dxf>
      <fill>
        <patternFill>
          <bgColor rgb="FFFFC000"/>
        </patternFill>
      </fill>
    </dxf>
    <dxf>
      <border diagonalUp="0" diagonalDown="0">
        <left/>
        <right/>
        <top/>
        <bottom/>
        <vertical/>
        <horizontal/>
      </border>
    </dxf>
    <dxf>
      <font>
        <b/>
        <i val="0"/>
        <color theme="0"/>
      </font>
      <fill>
        <patternFill>
          <bgColor rgb="FF0D1B2A"/>
        </patternFill>
      </fill>
    </dxf>
    <dxf>
      <fill>
        <patternFill>
          <bgColor rgb="FF111827"/>
        </patternFill>
      </fill>
      <border diagonalUp="0" diagonalDown="0">
        <left/>
        <right/>
        <top/>
        <bottom/>
        <vertical/>
        <horizontal/>
      </border>
    </dxf>
    <dxf>
      <font>
        <b/>
        <i val="0"/>
        <color theme="0"/>
      </font>
      <fill>
        <patternFill>
          <bgColor rgb="FF0D1B2A"/>
        </patternFill>
      </fill>
    </dxf>
    <dxf>
      <fill>
        <patternFill>
          <bgColor rgb="FF111827"/>
        </patternFill>
      </fill>
      <border diagonalUp="0" diagonalDown="0">
        <left/>
        <right/>
        <top/>
        <bottom/>
        <vertical/>
        <horizontal/>
      </border>
    </dxf>
    <dxf>
      <fill>
        <patternFill>
          <bgColor rgb="FF111827"/>
        </patternFill>
      </fill>
      <border diagonalUp="0" diagonalDown="0">
        <left/>
        <right/>
        <top/>
        <bottom/>
        <vertical/>
        <horizontal/>
      </border>
    </dxf>
  </dxfs>
  <tableStyles count="9" defaultTableStyle="TableStyleMedium2" defaultPivotStyle="PivotStyleLight16">
    <tableStyle name="Dark_Dashboard" pivot="0" table="0" count="2" xr9:uid="{39F4A131-E2DD-4792-988F-FDC1994A909E}">
      <tableStyleElement type="wholeTable" dxfId="38"/>
    </tableStyle>
    <tableStyle name="Dark_MIS" pivot="0" table="0" count="5" xr9:uid="{C005EAE7-BE17-4069-AAB7-C5996E9EFE6D}">
      <tableStyleElement type="wholeTable" dxfId="37"/>
      <tableStyleElement type="headerRow" dxfId="36"/>
    </tableStyle>
    <tableStyle name="MIS_Dark" pivot="0" table="0" count="7" xr9:uid="{BD2E0CCD-18FD-4642-9C71-49D2F8B228BE}">
      <tableStyleElement type="wholeTable" dxfId="35"/>
      <tableStyleElement type="headerRow" dxfId="34"/>
    </tableStyle>
    <tableStyle name="Slicer Style 1" pivot="0" table="0" count="1" xr9:uid="{19B0FAA2-F138-4589-B070-72C40979A7AF}">
      <tableStyleElement type="wholeTable" dxfId="33"/>
    </tableStyle>
    <tableStyle name="Slicer Style 2" pivot="0" table="0" count="1" xr9:uid="{142BB7E8-6A0B-4C1B-8D35-EAF5E553D172}">
      <tableStyleElement type="wholeTable" dxfId="32"/>
    </tableStyle>
    <tableStyle name="Slicer Style 3" pivot="0" table="0" count="1" xr9:uid="{59326D37-4F00-41BD-9EF8-F4BA8EFFF9C0}">
      <tableStyleElement type="wholeTable" dxfId="31"/>
    </tableStyle>
    <tableStyle name="Slicer Style 4" pivot="0" table="0" count="1" xr9:uid="{F88323D8-64F4-415C-B1C6-6F126404363E}">
      <tableStyleElement type="wholeTable" dxfId="30"/>
    </tableStyle>
    <tableStyle name="Slicer Style 5" pivot="0" table="0" count="0" xr9:uid="{83E55283-166B-42BF-8CE1-8A2F4CF6F9BF}"/>
    <tableStyle name="Slicer Style 6" pivot="0" table="0" count="1" xr9:uid="{39D142BA-48A0-4BD2-AC8C-327D7B90F21C}"/>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4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B4332"/>
      <rgbColor rgb="FF993300"/>
      <rgbColor rgb="FF993366"/>
      <rgbColor rgb="FF333399"/>
      <rgbColor rgb="FF2E4057"/>
      <rgbColor rgb="00003366"/>
      <rgbColor rgb="00339966"/>
      <rgbColor rgb="00003300"/>
      <rgbColor rgb="00333300"/>
      <rgbColor rgb="00993300"/>
      <rgbColor rgb="00993366"/>
      <rgbColor rgb="00333399"/>
      <rgbColor rgb="00333333"/>
    </indexedColors>
    <mruColors>
      <color rgb="FFE2E8F0"/>
      <color rgb="FF334155"/>
      <color rgb="FF1E293B"/>
      <color rgb="FFF97316"/>
      <color rgb="FF111827"/>
      <color rgb="FFE2E8F9"/>
      <color rgb="FFEA580C"/>
      <color rgb="FF0D1B2A"/>
      <color rgb="FF94A3B8"/>
      <color rgb="FF475569"/>
    </mruColors>
  </colors>
  <extLst>
    <ext xmlns:x14="http://schemas.microsoft.com/office/spreadsheetml/2009/9/main" uri="{46F421CA-312F-682f-3DD2-61675219B42D}">
      <x14:dxfs count="10">
        <dxf>
          <fill>
            <patternFill>
              <bgColor rgb="FF92D050"/>
            </patternFill>
          </fill>
        </dxf>
        <dxf>
          <font>
            <b/>
            <i val="0"/>
            <color theme="0"/>
          </font>
          <fill>
            <patternFill>
              <bgColor rgb="FFEA580C"/>
            </patternFill>
          </fill>
        </dxf>
        <dxf>
          <font>
            <color rgb="FFFED7AA"/>
          </font>
          <fill>
            <patternFill>
              <bgColor rgb="FF7C2D12"/>
            </patternFill>
          </fill>
        </dxf>
        <dxf>
          <font>
            <b/>
            <i val="0"/>
            <color theme="0"/>
          </font>
          <fill>
            <patternFill>
              <bgColor rgb="FFF97316"/>
            </patternFill>
          </fill>
        </dxf>
        <dxf>
          <font>
            <color rgb="FF475569"/>
          </font>
          <fill>
            <patternFill patternType="none">
              <bgColor auto="1"/>
            </patternFill>
          </fill>
        </dxf>
        <dxf>
          <font>
            <color rgb="FF94A3B8"/>
          </font>
          <fill>
            <patternFill patternType="none">
              <bgColor auto="1"/>
            </patternFill>
          </fill>
          <border diagonalUp="0" diagonalDown="0">
            <left/>
            <right/>
            <top/>
            <bottom/>
            <vertical/>
            <horizontal/>
          </border>
        </dxf>
        <dxf>
          <fill>
            <patternFill>
              <bgColor rgb="FF7C2D12"/>
            </patternFill>
          </fill>
        </dxf>
        <dxf>
          <font>
            <b/>
            <i val="0"/>
            <color theme="0"/>
          </font>
          <fill>
            <patternFill>
              <bgColor rgb="FFF97316"/>
            </patternFill>
          </fill>
        </dxf>
        <dxf>
          <font>
            <color rgb="FF94A3B8"/>
          </font>
          <fill>
            <patternFill patternType="none">
              <bgColor auto="1"/>
            </patternFill>
          </fill>
          <border diagonalUp="0" diagonalDown="0">
            <left/>
            <right/>
            <top/>
            <bottom/>
            <vertical/>
            <horizontal/>
          </border>
        </dxf>
        <dxf>
          <font>
            <b/>
            <i val="0"/>
            <color theme="0"/>
          </font>
          <fill>
            <patternFill>
              <bgColor rgb="FFF97316"/>
            </patternFill>
          </fill>
        </dxf>
      </x14:dxfs>
    </ext>
    <ext xmlns:x14="http://schemas.microsoft.com/office/spreadsheetml/2009/9/main" uri="{EB79DEF2-80B8-43e5-95BD-54CBDDF9020C}">
      <x14:slicerStyles defaultSlicerStyle="SlicerStyleLight1">
        <x14:slicerStyle name="Dark_Dashboard">
          <x14:slicerStyleElements>
            <x14:slicerStyleElement type="selectedItemWithData" dxfId="9"/>
          </x14:slicerStyleElements>
        </x14:slicerStyle>
        <x14:slicerStyle name="Dark_MIS">
          <x14:slicerStyleElements>
            <x14:slicerStyleElement type="unselectedItemWithData" dxfId="8"/>
            <x14:slicerStyleElement type="selectedItemWithData" dxfId="7"/>
            <x14:slicerStyleElement type="selectedItemWithNoData" dxfId="6"/>
          </x14:slicerStyleElements>
        </x14:slicerStyle>
        <x14:slicerStyle name="MIS_Dark">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s>
        </x14:slicerStyle>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[Aryan_Traders_MIS_Raw_Data.xlsx]Pivot_Data!PT_Salesperson</c:name>
    <c:fmtId val="14"/>
  </c:pivotSource>
  <c:chart>
    <c:title>
      <c:tx>
        <c:rich>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r>
              <a:rPr lang="en-US" sz="1400" baseline="0">
                <a:solidFill>
                  <a:srgbClr val="94A3B8"/>
                </a:solidFill>
              </a:rPr>
              <a:t>Salesman-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4A3B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1"/>
        <c:ser>
          <c:idx val="0"/>
          <c:order val="0"/>
          <c:tx>
            <c:strRef>
              <c:f>Pivot_Data!$B$4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CA1-4F6F-A823-DC142CAF785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CA1-4F6F-A823-DC142CAF785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CA1-4F6F-A823-DC142CAF785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CA1-4F6F-A823-DC142CAF785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CA1-4F6F-A823-DC142CAF785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CA1-4F6F-A823-DC142CAF785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CA1-4F6F-A823-DC142CAF785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CA1-4F6F-A823-DC142CAF7852}"/>
              </c:ext>
            </c:extLst>
          </c:dPt>
          <c:cat>
            <c:strRef>
              <c:f>Pivot_Data!$A$5:$A$13</c:f>
              <c:strCache>
                <c:ptCount val="8"/>
                <c:pt idx="0">
                  <c:v>Neha Gupta</c:v>
                </c:pt>
                <c:pt idx="1">
                  <c:v>Ravi Kumar</c:v>
                </c:pt>
                <c:pt idx="2">
                  <c:v>Sunita Rao</c:v>
                </c:pt>
                <c:pt idx="3">
                  <c:v>Deepak Verma</c:v>
                </c:pt>
                <c:pt idx="4">
                  <c:v>Suresh Patel</c:v>
                </c:pt>
                <c:pt idx="5">
                  <c:v>Amit Singh</c:v>
                </c:pt>
                <c:pt idx="6">
                  <c:v>Kavita Joshi</c:v>
                </c:pt>
                <c:pt idx="7">
                  <c:v>Priya Sharma</c:v>
                </c:pt>
              </c:strCache>
            </c:strRef>
          </c:cat>
          <c:val>
            <c:numRef>
              <c:f>Pivot_Data!$B$5:$B$13</c:f>
              <c:numCache>
                <c:formatCode>"₹"\ #,##0.00</c:formatCode>
                <c:ptCount val="8"/>
                <c:pt idx="0">
                  <c:v>297860.17000000004</c:v>
                </c:pt>
                <c:pt idx="1">
                  <c:v>333990.34000000008</c:v>
                </c:pt>
                <c:pt idx="2">
                  <c:v>369279.84999999992</c:v>
                </c:pt>
                <c:pt idx="3">
                  <c:v>373473.13999999996</c:v>
                </c:pt>
                <c:pt idx="4">
                  <c:v>379765.34000000008</c:v>
                </c:pt>
                <c:pt idx="5">
                  <c:v>385354.06999999989</c:v>
                </c:pt>
                <c:pt idx="6">
                  <c:v>403087.31000000011</c:v>
                </c:pt>
                <c:pt idx="7">
                  <c:v>475231.69999999984</c:v>
                </c:pt>
              </c:numCache>
            </c:numRef>
          </c:val>
          <c:extLst>
            <c:ext xmlns:c16="http://schemas.microsoft.com/office/drawing/2014/chart" uri="{C3380CC4-5D6E-409C-BE32-E72D297353CC}">
              <c16:uniqueId val="{00000000-2C51-469C-A187-CC0587F9E550}"/>
            </c:ext>
          </c:extLst>
        </c:ser>
        <c:dLbls>
          <c:showLegendKey val="0"/>
          <c:showVal val="0"/>
          <c:showCatName val="0"/>
          <c:showSerName val="0"/>
          <c:showPercent val="0"/>
          <c:showBubbleSize val="0"/>
        </c:dLbls>
        <c:gapWidth val="182"/>
        <c:axId val="25888448"/>
        <c:axId val="25892768"/>
      </c:barChart>
      <c:catAx>
        <c:axId val="25888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25892768"/>
        <c:crosses val="autoZero"/>
        <c:auto val="1"/>
        <c:lblAlgn val="ctr"/>
        <c:lblOffset val="100"/>
        <c:noMultiLvlLbl val="0"/>
      </c:catAx>
      <c:valAx>
        <c:axId val="25892768"/>
        <c:scaling>
          <c:orientation val="minMax"/>
        </c:scaling>
        <c:delete val="0"/>
        <c:axPos val="b"/>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25888448"/>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a:outerShdw blurRad="50800" dist="38100" dir="2700000" algn="tl" rotWithShape="0">
        <a:prstClr val="black">
          <a:alpha val="40000"/>
        </a:prstClr>
      </a:outerShdw>
    </a:effectLst>
  </c:spPr>
  <c:txPr>
    <a:bodyPr/>
    <a:lstStyle/>
    <a:p>
      <a:pPr>
        <a:defRPr baseline="0">
          <a:solidFill>
            <a:srgbClr val="94A3B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[Aryan_Traders_MIS_Raw_Data.xlsx]Pivot_Data!Category_wise</c:name>
    <c:fmtId val="12"/>
  </c:pivotSource>
  <c:chart>
    <c:title>
      <c:tx>
        <c:rich>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r>
              <a:rPr lang="en-US" baseline="0">
                <a:solidFill>
                  <a:srgbClr val="94A3B8"/>
                </a:solidFill>
              </a:rPr>
              <a:t>Category - Wise Sales</a:t>
            </a:r>
          </a:p>
        </c:rich>
      </c:tx>
      <c:layout>
        <c:manualLayout>
          <c:xMode val="edge"/>
          <c:yMode val="edge"/>
          <c:x val="0.29924706089560132"/>
          <c:y val="7.0477482533856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59E0B"/>
          </a:solidFill>
          <a:ln w="19050">
            <a:solidFill>
              <a:schemeClr val="lt1"/>
            </a:solidFill>
          </a:ln>
          <a:effectLst/>
        </c:spPr>
        <c:dLbl>
          <c:idx val="0"/>
          <c:layout>
            <c:manualLayout>
              <c:x val="-2.4673568432348119E-2"/>
              <c:y val="-0.16484085276368754"/>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001359797144168"/>
                  <c:h val="0.15835697733275025"/>
                </c:manualLayout>
              </c15:layout>
            </c:ext>
          </c:extLst>
        </c:dLbl>
      </c:pivotFmt>
      <c:pivotFmt>
        <c:idx val="11"/>
        <c:spPr>
          <a:solidFill>
            <a:srgbClr val="EF4444"/>
          </a:solidFill>
          <a:ln w="19050">
            <a:solidFill>
              <a:schemeClr val="lt1"/>
            </a:solidFill>
          </a:ln>
          <a:effectLst/>
        </c:spPr>
        <c:dLbl>
          <c:idx val="0"/>
          <c:layout>
            <c:manualLayout>
              <c:x val="0.12282913210418231"/>
              <c:y val="-0.17618005740591339"/>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14B8A6"/>
          </a:solidFill>
          <a:ln w="19050">
            <a:solidFill>
              <a:schemeClr val="lt1"/>
            </a:solidFill>
          </a:ln>
          <a:effectLst/>
        </c:spPr>
        <c:dLbl>
          <c:idx val="0"/>
          <c:layout>
            <c:manualLayout>
              <c:x val="0.24985663852965781"/>
              <c:y val="-0.14275236813018438"/>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97316"/>
          </a:solidFill>
          <a:ln w="19050">
            <a:solidFill>
              <a:schemeClr val="lt1"/>
            </a:solidFill>
          </a:ln>
          <a:effectLst>
            <a:outerShdw blurRad="50800" dist="50800" dir="5400000" sx="1000" sy="1000" algn="ctr" rotWithShape="0">
              <a:srgbClr val="000000">
                <a:alpha val="43137"/>
              </a:srgbClr>
            </a:outerShdw>
          </a:effectLst>
        </c:spPr>
        <c:dLbl>
          <c:idx val="0"/>
          <c:layout>
            <c:manualLayout>
              <c:x val="0.19211736047064401"/>
              <c:y val="-3.3033760763608859E-2"/>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10B981"/>
          </a:solidFill>
          <a:ln w="19050">
            <a:solidFill>
              <a:schemeClr val="lt1"/>
            </a:solidFill>
          </a:ln>
          <a:effectLst/>
        </c:spPr>
        <c:dLbl>
          <c:idx val="0"/>
          <c:layout>
            <c:manualLayout>
              <c:x val="-0.154323781361665"/>
              <c:y val="1.1011253587869587E-2"/>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3B82F6"/>
          </a:solidFill>
          <a:ln w="19050">
            <a:solidFill>
              <a:schemeClr val="lt1"/>
            </a:solidFill>
          </a:ln>
          <a:effectLst/>
        </c:spPr>
        <c:dLbl>
          <c:idx val="0"/>
          <c:layout>
            <c:manualLayout>
              <c:x val="-0.15390391284865845"/>
              <c:y val="-3.8263681095245194E-2"/>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8B5CF6"/>
          </a:solidFill>
          <a:ln w="19050">
            <a:solidFill>
              <a:schemeClr val="lt1"/>
            </a:solidFill>
          </a:ln>
          <a:effectLst/>
        </c:spPr>
        <c:dLbl>
          <c:idx val="0"/>
          <c:layout>
            <c:manualLayout>
              <c:x val="-9.81931533566269E-2"/>
              <c:y val="-0.15954491613840693"/>
            </c:manualLayout>
          </c:layout>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650130901185909"/>
          <c:y val="0.36439879639195033"/>
          <c:w val="0.34833205853177901"/>
          <c:h val="0.59557948798021632"/>
        </c:manualLayout>
      </c:layout>
      <c:doughnutChart>
        <c:varyColors val="1"/>
        <c:ser>
          <c:idx val="0"/>
          <c:order val="0"/>
          <c:tx>
            <c:strRef>
              <c:f>Pivot_Data!$E$13</c:f>
              <c:strCache>
                <c:ptCount val="1"/>
                <c:pt idx="0">
                  <c:v>Total</c:v>
                </c:pt>
              </c:strCache>
            </c:strRef>
          </c:tx>
          <c:dPt>
            <c:idx val="0"/>
            <c:bubble3D val="0"/>
            <c:spPr>
              <a:solidFill>
                <a:srgbClr val="F59E0B"/>
              </a:solidFill>
              <a:ln w="19050">
                <a:solidFill>
                  <a:schemeClr val="lt1"/>
                </a:solidFill>
              </a:ln>
              <a:effectLst/>
            </c:spPr>
            <c:extLst>
              <c:ext xmlns:c16="http://schemas.microsoft.com/office/drawing/2014/chart" uri="{C3380CC4-5D6E-409C-BE32-E72D297353CC}">
                <c16:uniqueId val="{00000001-6230-4C73-96B6-833959F80633}"/>
              </c:ext>
            </c:extLst>
          </c:dPt>
          <c:dPt>
            <c:idx val="1"/>
            <c:bubble3D val="0"/>
            <c:spPr>
              <a:solidFill>
                <a:srgbClr val="EF4444"/>
              </a:solidFill>
              <a:ln w="19050">
                <a:solidFill>
                  <a:schemeClr val="lt1"/>
                </a:solidFill>
              </a:ln>
              <a:effectLst/>
            </c:spPr>
            <c:extLst>
              <c:ext xmlns:c16="http://schemas.microsoft.com/office/drawing/2014/chart" uri="{C3380CC4-5D6E-409C-BE32-E72D297353CC}">
                <c16:uniqueId val="{00000003-6230-4C73-96B6-833959F80633}"/>
              </c:ext>
            </c:extLst>
          </c:dPt>
          <c:dPt>
            <c:idx val="2"/>
            <c:bubble3D val="0"/>
            <c:spPr>
              <a:solidFill>
                <a:srgbClr val="14B8A6"/>
              </a:solidFill>
              <a:ln w="19050">
                <a:solidFill>
                  <a:schemeClr val="lt1"/>
                </a:solidFill>
              </a:ln>
              <a:effectLst/>
            </c:spPr>
            <c:extLst>
              <c:ext xmlns:c16="http://schemas.microsoft.com/office/drawing/2014/chart" uri="{C3380CC4-5D6E-409C-BE32-E72D297353CC}">
                <c16:uniqueId val="{00000005-6230-4C73-96B6-833959F80633}"/>
              </c:ext>
            </c:extLst>
          </c:dPt>
          <c:dPt>
            <c:idx val="3"/>
            <c:bubble3D val="0"/>
            <c:spPr>
              <a:solidFill>
                <a:srgbClr val="F97316"/>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6230-4C73-96B6-833959F80633}"/>
              </c:ext>
            </c:extLst>
          </c:dPt>
          <c:dPt>
            <c:idx val="4"/>
            <c:bubble3D val="0"/>
            <c:spPr>
              <a:solidFill>
                <a:srgbClr val="10B981"/>
              </a:solidFill>
              <a:ln w="19050">
                <a:solidFill>
                  <a:schemeClr val="lt1"/>
                </a:solidFill>
              </a:ln>
              <a:effectLst/>
            </c:spPr>
            <c:extLst>
              <c:ext xmlns:c16="http://schemas.microsoft.com/office/drawing/2014/chart" uri="{C3380CC4-5D6E-409C-BE32-E72D297353CC}">
                <c16:uniqueId val="{00000009-6230-4C73-96B6-833959F80633}"/>
              </c:ext>
            </c:extLst>
          </c:dPt>
          <c:dPt>
            <c:idx val="5"/>
            <c:bubble3D val="0"/>
            <c:spPr>
              <a:solidFill>
                <a:srgbClr val="3B82F6"/>
              </a:solidFill>
              <a:ln w="19050">
                <a:solidFill>
                  <a:schemeClr val="lt1"/>
                </a:solidFill>
              </a:ln>
              <a:effectLst/>
            </c:spPr>
            <c:extLst>
              <c:ext xmlns:c16="http://schemas.microsoft.com/office/drawing/2014/chart" uri="{C3380CC4-5D6E-409C-BE32-E72D297353CC}">
                <c16:uniqueId val="{0000000B-6230-4C73-96B6-833959F80633}"/>
              </c:ext>
            </c:extLst>
          </c:dPt>
          <c:dPt>
            <c:idx val="6"/>
            <c:bubble3D val="0"/>
            <c:spPr>
              <a:solidFill>
                <a:srgbClr val="8B5CF6"/>
              </a:solidFill>
              <a:ln w="19050">
                <a:solidFill>
                  <a:schemeClr val="lt1"/>
                </a:solidFill>
              </a:ln>
              <a:effectLst/>
            </c:spPr>
            <c:extLst>
              <c:ext xmlns:c16="http://schemas.microsoft.com/office/drawing/2014/chart" uri="{C3380CC4-5D6E-409C-BE32-E72D297353CC}">
                <c16:uniqueId val="{0000000D-6230-4C73-96B6-833959F80633}"/>
              </c:ext>
            </c:extLst>
          </c:dPt>
          <c:dLbls>
            <c:dLbl>
              <c:idx val="0"/>
              <c:layout>
                <c:manualLayout>
                  <c:x val="-2.4673568432348119E-2"/>
                  <c:y val="-0.16484085276368754"/>
                </c:manualLayout>
              </c:layout>
              <c:showLegendKey val="0"/>
              <c:showVal val="0"/>
              <c:showCatName val="1"/>
              <c:showSerName val="0"/>
              <c:showPercent val="1"/>
              <c:showBubbleSize val="0"/>
              <c:extLst>
                <c:ext xmlns:c15="http://schemas.microsoft.com/office/drawing/2012/chart" uri="{CE6537A1-D6FC-4f65-9D91-7224C49458BB}">
                  <c15:layout>
                    <c:manualLayout>
                      <c:w val="0.15001359797144168"/>
                      <c:h val="0.15835697733275025"/>
                    </c:manualLayout>
                  </c15:layout>
                </c:ext>
                <c:ext xmlns:c16="http://schemas.microsoft.com/office/drawing/2014/chart" uri="{C3380CC4-5D6E-409C-BE32-E72D297353CC}">
                  <c16:uniqueId val="{00000001-6230-4C73-96B6-833959F80633}"/>
                </c:ext>
              </c:extLst>
            </c:dLbl>
            <c:dLbl>
              <c:idx val="1"/>
              <c:layout>
                <c:manualLayout>
                  <c:x val="0.12282913210418231"/>
                  <c:y val="-0.176180057405913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30-4C73-96B6-833959F80633}"/>
                </c:ext>
              </c:extLst>
            </c:dLbl>
            <c:dLbl>
              <c:idx val="2"/>
              <c:layout>
                <c:manualLayout>
                  <c:x val="0.24985663852965781"/>
                  <c:y val="-0.142752368130184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30-4C73-96B6-833959F80633}"/>
                </c:ext>
              </c:extLst>
            </c:dLbl>
            <c:dLbl>
              <c:idx val="3"/>
              <c:layout>
                <c:manualLayout>
                  <c:x val="0.19211736047064401"/>
                  <c:y val="-3.30337607636088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230-4C73-96B6-833959F80633}"/>
                </c:ext>
              </c:extLst>
            </c:dLbl>
            <c:dLbl>
              <c:idx val="4"/>
              <c:layout>
                <c:manualLayout>
                  <c:x val="-0.154323781361665"/>
                  <c:y val="1.1011253587869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230-4C73-96B6-833959F80633}"/>
                </c:ext>
              </c:extLst>
            </c:dLbl>
            <c:dLbl>
              <c:idx val="5"/>
              <c:layout>
                <c:manualLayout>
                  <c:x val="-0.15390391284865845"/>
                  <c:y val="-3.82636810952451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230-4C73-96B6-833959F80633}"/>
                </c:ext>
              </c:extLst>
            </c:dLbl>
            <c:dLbl>
              <c:idx val="6"/>
              <c:layout>
                <c:manualLayout>
                  <c:x val="-9.81931533566269E-2"/>
                  <c:y val="-0.159544916138406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230-4C73-96B6-833959F80633}"/>
                </c:ext>
              </c:extLst>
            </c:dLbl>
            <c:spPr>
              <a:noFill/>
              <a:ln>
                <a:noFill/>
              </a:ln>
              <a:effectLst/>
            </c:spPr>
            <c:txPr>
              <a:bodyPr rot="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Pivot_Data!$D$14:$D$21</c:f>
              <c:strCache>
                <c:ptCount val="7"/>
                <c:pt idx="0">
                  <c:v>Beverages</c:v>
                </c:pt>
                <c:pt idx="1">
                  <c:v>Biscuits</c:v>
                </c:pt>
                <c:pt idx="2">
                  <c:v>Dairy</c:v>
                </c:pt>
                <c:pt idx="3">
                  <c:v>Detergent</c:v>
                </c:pt>
                <c:pt idx="4">
                  <c:v>Healthcare</c:v>
                </c:pt>
                <c:pt idx="5">
                  <c:v>Noodles</c:v>
                </c:pt>
                <c:pt idx="6">
                  <c:v>Personal Care</c:v>
                </c:pt>
              </c:strCache>
            </c:strRef>
          </c:cat>
          <c:val>
            <c:numRef>
              <c:f>Pivot_Data!$E$14:$E$21</c:f>
              <c:numCache>
                <c:formatCode>"₹"\ #,##0.00</c:formatCode>
                <c:ptCount val="7"/>
                <c:pt idx="0">
                  <c:v>199557.24000000005</c:v>
                </c:pt>
                <c:pt idx="1">
                  <c:v>159123.75999999998</c:v>
                </c:pt>
                <c:pt idx="2">
                  <c:v>211627.86</c:v>
                </c:pt>
                <c:pt idx="3">
                  <c:v>1365061.43</c:v>
                </c:pt>
                <c:pt idx="4">
                  <c:v>544584.73999999976</c:v>
                </c:pt>
                <c:pt idx="5">
                  <c:v>112657.65999999997</c:v>
                </c:pt>
                <c:pt idx="6">
                  <c:v>425429.23</c:v>
                </c:pt>
              </c:numCache>
            </c:numRef>
          </c:val>
          <c:extLst>
            <c:ext xmlns:c16="http://schemas.microsoft.com/office/drawing/2014/chart" uri="{C3380CC4-5D6E-409C-BE32-E72D297353CC}">
              <c16:uniqueId val="{0000000E-6230-4C73-96B6-833959F80633}"/>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a:outerShdw blurRad="50800" dist="38100" dir="2700000" algn="tl" rotWithShape="0">
        <a:prstClr val="black">
          <a:alpha val="40000"/>
        </a:prstClr>
      </a:outerShdw>
    </a:effectLst>
  </c:spPr>
  <c:txPr>
    <a:bodyPr/>
    <a:lstStyle/>
    <a:p>
      <a:pPr>
        <a:defRPr baseline="0">
          <a:solidFill>
            <a:srgbClr val="94A3B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[Aryan_Traders_MIS_Raw_Data.xlsx]Pivot_Data!PT_Monthly_Trend</c:name>
    <c:fmtId val="6"/>
  </c:pivotSource>
  <c:chart>
    <c:title>
      <c:tx>
        <c:rich>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r>
              <a:rPr lang="en-US" sz="1100" b="1" baseline="0">
                <a:solidFill>
                  <a:srgbClr val="94A3B8"/>
                </a:solidFill>
              </a:rPr>
              <a:t>Monthly Sales Trend</a:t>
            </a:r>
          </a:p>
        </c:rich>
      </c:tx>
      <c:layout>
        <c:manualLayout>
          <c:xMode val="edge"/>
          <c:yMode val="edge"/>
          <c:x val="0.35824761113362413"/>
          <c:y val="3.3279643340053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F97316"/>
            </a:solidFill>
            <a:round/>
          </a:ln>
          <a:effectLst/>
        </c:spPr>
        <c:marker>
          <c:symbol val="circle"/>
          <c:size val="6"/>
          <c:spPr>
            <a:solidFill>
              <a:srgbClr val="11182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rgbClr val="F97316"/>
            </a:solidFill>
            <a:round/>
          </a:ln>
          <a:effectLst/>
        </c:spPr>
        <c:marker>
          <c:symbol val="circle"/>
          <c:size val="6"/>
          <c:spPr>
            <a:solidFill>
              <a:srgbClr val="F9731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Pivot_Data!$K$11</c:f>
              <c:strCache>
                <c:ptCount val="1"/>
                <c:pt idx="0">
                  <c:v>Total</c:v>
                </c:pt>
              </c:strCache>
            </c:strRef>
          </c:tx>
          <c:spPr>
            <a:ln w="31750" cap="rnd">
              <a:solidFill>
                <a:srgbClr val="F97316"/>
              </a:solidFill>
              <a:round/>
            </a:ln>
            <a:effectLst/>
          </c:spPr>
          <c:marker>
            <c:symbol val="circle"/>
            <c:size val="6"/>
            <c:spPr>
              <a:solidFill>
                <a:srgbClr val="F97316"/>
              </a:solidFill>
              <a:ln w="9525">
                <a:solidFill>
                  <a:schemeClr val="accent1"/>
                </a:solidFill>
              </a:ln>
              <a:effectLst/>
            </c:spPr>
          </c:marker>
          <c:cat>
            <c:strRef>
              <c:f>Pivot_Data!$J$12:$J$18</c:f>
              <c:strCache>
                <c:ptCount val="6"/>
                <c:pt idx="0">
                  <c:v>Jan</c:v>
                </c:pt>
                <c:pt idx="1">
                  <c:v>Feb</c:v>
                </c:pt>
                <c:pt idx="2">
                  <c:v>Mar</c:v>
                </c:pt>
                <c:pt idx="3">
                  <c:v>Apr</c:v>
                </c:pt>
                <c:pt idx="4">
                  <c:v>May</c:v>
                </c:pt>
                <c:pt idx="5">
                  <c:v>Jun</c:v>
                </c:pt>
              </c:strCache>
            </c:strRef>
          </c:cat>
          <c:val>
            <c:numRef>
              <c:f>Pivot_Data!$K$12:$K$18</c:f>
              <c:numCache>
                <c:formatCode>"₹"\ #,##0.00</c:formatCode>
                <c:ptCount val="6"/>
                <c:pt idx="0">
                  <c:v>569636.06999999995</c:v>
                </c:pt>
                <c:pt idx="1">
                  <c:v>444725.03999999986</c:v>
                </c:pt>
                <c:pt idx="2">
                  <c:v>483110.71999999991</c:v>
                </c:pt>
                <c:pt idx="3">
                  <c:v>467015.16999999981</c:v>
                </c:pt>
                <c:pt idx="4">
                  <c:v>476531.28999999992</c:v>
                </c:pt>
                <c:pt idx="5">
                  <c:v>577023.62999999989</c:v>
                </c:pt>
              </c:numCache>
            </c:numRef>
          </c:val>
          <c:smooth val="0"/>
          <c:extLst>
            <c:ext xmlns:c16="http://schemas.microsoft.com/office/drawing/2014/chart" uri="{C3380CC4-5D6E-409C-BE32-E72D297353CC}">
              <c16:uniqueId val="{00000001-67C8-4A09-A217-BA28925729C9}"/>
            </c:ext>
          </c:extLst>
        </c:ser>
        <c:dLbls>
          <c:showLegendKey val="0"/>
          <c:showVal val="0"/>
          <c:showCatName val="0"/>
          <c:showSerName val="0"/>
          <c:showPercent val="0"/>
          <c:showBubbleSize val="0"/>
        </c:dLbls>
        <c:marker val="1"/>
        <c:smooth val="0"/>
        <c:axId val="173467728"/>
        <c:axId val="173465808"/>
      </c:lineChart>
      <c:catAx>
        <c:axId val="17346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73465808"/>
        <c:crosses val="autoZero"/>
        <c:auto val="1"/>
        <c:lblAlgn val="ctr"/>
        <c:lblOffset val="100"/>
        <c:noMultiLvlLbl val="0"/>
      </c:catAx>
      <c:valAx>
        <c:axId val="173465808"/>
        <c:scaling>
          <c:orientation val="minMax"/>
        </c:scaling>
        <c:delete val="0"/>
        <c:axPos val="l"/>
        <c:majorGridlines>
          <c:spPr>
            <a:ln w="9525" cap="flat" cmpd="sng" algn="ctr">
              <a:solidFill>
                <a:srgbClr val="1E293B"/>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728"/>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[Aryan_Traders_MIS_Raw_Data.xlsx]Pivot_Data!PT_Region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97316">
                <a:alpha val="8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F97316">
                <a:alpha val="88000"/>
              </a:srgbClr>
            </a:solidFill>
          </a:ln>
          <a:effectLst/>
        </c:spPr>
      </c:pivotFmt>
      <c:pivotFmt>
        <c:idx val="4"/>
        <c:spPr>
          <a:solidFill>
            <a:schemeClr val="accent1"/>
          </a:solidFill>
          <a:ln>
            <a:solidFill>
              <a:srgbClr val="F97316">
                <a:alpha val="88000"/>
              </a:srgbClr>
            </a:solidFill>
          </a:ln>
          <a:effectLst/>
        </c:spPr>
      </c:pivotFmt>
      <c:pivotFmt>
        <c:idx val="5"/>
        <c:spPr>
          <a:solidFill>
            <a:schemeClr val="accent1"/>
          </a:solidFill>
          <a:ln>
            <a:solidFill>
              <a:srgbClr val="F97316">
                <a:alpha val="88000"/>
              </a:srgbClr>
            </a:solidFill>
          </a:ln>
          <a:effectLst/>
        </c:spPr>
      </c:pivotFmt>
      <c:pivotFmt>
        <c:idx val="6"/>
        <c:spPr>
          <a:solidFill>
            <a:schemeClr val="accent1"/>
          </a:solidFill>
          <a:ln>
            <a:solidFill>
              <a:srgbClr val="F97316">
                <a:alpha val="88000"/>
              </a:srgbClr>
            </a:solidFill>
          </a:ln>
          <a:effectLst/>
        </c:spPr>
      </c:pivotFmt>
      <c:pivotFmt>
        <c:idx val="7"/>
        <c:spPr>
          <a:solidFill>
            <a:schemeClr val="accent1"/>
          </a:solidFill>
          <a:ln>
            <a:solidFill>
              <a:srgbClr val="F97316">
                <a:alpha val="88000"/>
              </a:srgbClr>
            </a:solidFill>
          </a:ln>
          <a:effectLst/>
        </c:spPr>
      </c:pivotFmt>
    </c:pivotFmts>
    <c:plotArea>
      <c:layout/>
      <c:barChart>
        <c:barDir val="col"/>
        <c:grouping val="clustered"/>
        <c:varyColors val="1"/>
        <c:ser>
          <c:idx val="0"/>
          <c:order val="0"/>
          <c:tx>
            <c:strRef>
              <c:f>Pivot_Data!$K$3</c:f>
              <c:strCache>
                <c:ptCount val="1"/>
                <c:pt idx="0">
                  <c:v>Total</c:v>
                </c:pt>
              </c:strCache>
            </c:strRef>
          </c:tx>
          <c:spPr>
            <a:ln>
              <a:solidFill>
                <a:srgbClr val="F97316">
                  <a:alpha val="88000"/>
                </a:srgbClr>
              </a:solidFill>
            </a:ln>
          </c:spPr>
          <c:invertIfNegative val="0"/>
          <c:dPt>
            <c:idx val="0"/>
            <c:invertIfNegative val="0"/>
            <c:bubble3D val="0"/>
            <c:spPr>
              <a:solidFill>
                <a:schemeClr val="accent1"/>
              </a:solidFill>
              <a:ln>
                <a:solidFill>
                  <a:srgbClr val="F97316">
                    <a:alpha val="88000"/>
                  </a:srgbClr>
                </a:solidFill>
              </a:ln>
              <a:effectLst/>
            </c:spPr>
            <c:extLst>
              <c:ext xmlns:c16="http://schemas.microsoft.com/office/drawing/2014/chart" uri="{C3380CC4-5D6E-409C-BE32-E72D297353CC}">
                <c16:uniqueId val="{00000001-B9C1-4E1F-8203-F511B32B5183}"/>
              </c:ext>
            </c:extLst>
          </c:dPt>
          <c:dPt>
            <c:idx val="1"/>
            <c:invertIfNegative val="0"/>
            <c:bubble3D val="0"/>
            <c:spPr>
              <a:solidFill>
                <a:schemeClr val="accent2"/>
              </a:solidFill>
              <a:ln>
                <a:solidFill>
                  <a:srgbClr val="F97316">
                    <a:alpha val="88000"/>
                  </a:srgbClr>
                </a:solidFill>
              </a:ln>
              <a:effectLst/>
            </c:spPr>
            <c:extLst>
              <c:ext xmlns:c16="http://schemas.microsoft.com/office/drawing/2014/chart" uri="{C3380CC4-5D6E-409C-BE32-E72D297353CC}">
                <c16:uniqueId val="{00000003-B9C1-4E1F-8203-F511B32B5183}"/>
              </c:ext>
            </c:extLst>
          </c:dPt>
          <c:dPt>
            <c:idx val="2"/>
            <c:invertIfNegative val="0"/>
            <c:bubble3D val="0"/>
            <c:spPr>
              <a:solidFill>
                <a:schemeClr val="accent3"/>
              </a:solidFill>
              <a:ln>
                <a:solidFill>
                  <a:srgbClr val="F97316">
                    <a:alpha val="88000"/>
                  </a:srgbClr>
                </a:solidFill>
              </a:ln>
              <a:effectLst/>
            </c:spPr>
            <c:extLst>
              <c:ext xmlns:c16="http://schemas.microsoft.com/office/drawing/2014/chart" uri="{C3380CC4-5D6E-409C-BE32-E72D297353CC}">
                <c16:uniqueId val="{00000005-B9C1-4E1F-8203-F511B32B5183}"/>
              </c:ext>
            </c:extLst>
          </c:dPt>
          <c:dPt>
            <c:idx val="3"/>
            <c:invertIfNegative val="0"/>
            <c:bubble3D val="0"/>
            <c:spPr>
              <a:solidFill>
                <a:schemeClr val="accent4"/>
              </a:solidFill>
              <a:ln>
                <a:solidFill>
                  <a:srgbClr val="F97316">
                    <a:alpha val="88000"/>
                  </a:srgbClr>
                </a:solidFill>
              </a:ln>
              <a:effectLst/>
            </c:spPr>
            <c:extLst>
              <c:ext xmlns:c16="http://schemas.microsoft.com/office/drawing/2014/chart" uri="{C3380CC4-5D6E-409C-BE32-E72D297353CC}">
                <c16:uniqueId val="{00000007-B9C1-4E1F-8203-F511B32B5183}"/>
              </c:ext>
            </c:extLst>
          </c:dPt>
          <c:dPt>
            <c:idx val="4"/>
            <c:invertIfNegative val="0"/>
            <c:bubble3D val="0"/>
            <c:spPr>
              <a:solidFill>
                <a:schemeClr val="accent5"/>
              </a:solidFill>
              <a:ln>
                <a:solidFill>
                  <a:srgbClr val="F97316">
                    <a:alpha val="88000"/>
                  </a:srgbClr>
                </a:solidFill>
              </a:ln>
              <a:effectLst/>
            </c:spPr>
            <c:extLst>
              <c:ext xmlns:c16="http://schemas.microsoft.com/office/drawing/2014/chart" uri="{C3380CC4-5D6E-409C-BE32-E72D297353CC}">
                <c16:uniqueId val="{00000009-B9C1-4E1F-8203-F511B32B518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Pivot_Data!$J$4:$J$9</c:f>
              <c:strCache>
                <c:ptCount val="5"/>
                <c:pt idx="0">
                  <c:v>Central</c:v>
                </c:pt>
                <c:pt idx="1">
                  <c:v>East</c:v>
                </c:pt>
                <c:pt idx="2">
                  <c:v>North</c:v>
                </c:pt>
                <c:pt idx="3">
                  <c:v>South</c:v>
                </c:pt>
                <c:pt idx="4">
                  <c:v>West</c:v>
                </c:pt>
              </c:strCache>
            </c:strRef>
          </c:cat>
          <c:val>
            <c:numRef>
              <c:f>Pivot_Data!$K$4:$K$9</c:f>
              <c:numCache>
                <c:formatCode>"₹"\ #,##0</c:formatCode>
                <c:ptCount val="5"/>
                <c:pt idx="0">
                  <c:v>683033.03</c:v>
                </c:pt>
                <c:pt idx="1">
                  <c:v>495598.54999999987</c:v>
                </c:pt>
                <c:pt idx="2">
                  <c:v>609800.45999999973</c:v>
                </c:pt>
                <c:pt idx="3">
                  <c:v>477255.82</c:v>
                </c:pt>
                <c:pt idx="4">
                  <c:v>752354.05999999994</c:v>
                </c:pt>
              </c:numCache>
            </c:numRef>
          </c:val>
          <c:extLst>
            <c:ext xmlns:c16="http://schemas.microsoft.com/office/drawing/2014/chart" uri="{C3380CC4-5D6E-409C-BE32-E72D297353CC}">
              <c16:uniqueId val="{00000000-28C7-48CA-8F60-EB4A0EDE562E}"/>
            </c:ext>
          </c:extLst>
        </c:ser>
        <c:dLbls>
          <c:dLblPos val="outEnd"/>
          <c:showLegendKey val="0"/>
          <c:showVal val="1"/>
          <c:showCatName val="0"/>
          <c:showSerName val="0"/>
          <c:showPercent val="0"/>
          <c:showBubbleSize val="0"/>
        </c:dLbls>
        <c:gapWidth val="219"/>
        <c:overlap val="-27"/>
        <c:axId val="173433168"/>
        <c:axId val="173441808"/>
      </c:barChart>
      <c:catAx>
        <c:axId val="17343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US"/>
          </a:p>
        </c:txPr>
        <c:crossAx val="173441808"/>
        <c:crosses val="autoZero"/>
        <c:auto val="1"/>
        <c:lblAlgn val="ctr"/>
        <c:lblOffset val="100"/>
        <c:noMultiLvlLbl val="0"/>
      </c:catAx>
      <c:valAx>
        <c:axId val="173441808"/>
        <c:scaling>
          <c:orientation val="minMax"/>
        </c:scaling>
        <c:delete val="0"/>
        <c:axPos val="l"/>
        <c:majorGridlines>
          <c:spPr>
            <a:ln w="9525" cap="flat" cmpd="sng" algn="ctr">
              <a:solidFill>
                <a:srgbClr val="1E293B"/>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33168"/>
        <c:crosses val="autoZero"/>
        <c:crossBetween val="between"/>
      </c:valAx>
      <c:spPr>
        <a:solidFill>
          <a:srgbClr val="11182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601980</xdr:colOff>
      <xdr:row>0</xdr:row>
      <xdr:rowOff>7620</xdr:rowOff>
    </xdr:from>
    <xdr:to>
      <xdr:col>7</xdr:col>
      <xdr:colOff>72081</xdr:colOff>
      <xdr:row>1</xdr:row>
      <xdr:rowOff>0</xdr:rowOff>
    </xdr:to>
    <xdr:sp macro="" textlink="">
      <xdr:nvSpPr>
        <xdr:cNvPr id="2" name="Rectangle 1">
          <a:extLst>
            <a:ext uri="{FF2B5EF4-FFF2-40B4-BE49-F238E27FC236}">
              <a16:creationId xmlns:a16="http://schemas.microsoft.com/office/drawing/2014/main" id="{9B4D4FB6-13AB-4512-B65E-47BF6BA17890}"/>
            </a:ext>
          </a:extLst>
        </xdr:cNvPr>
        <xdr:cNvSpPr/>
      </xdr:nvSpPr>
      <xdr:spPr>
        <a:xfrm>
          <a:off x="601980" y="7620"/>
          <a:ext cx="3722885" cy="527839"/>
        </a:xfrm>
        <a:prstGeom prst="rect">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ARYAN</a:t>
          </a:r>
          <a:r>
            <a:rPr lang="en-IN" sz="1400" b="1" baseline="0"/>
            <a:t> TRADERS PYT LTD - MIS DASHBOARD</a:t>
          </a:r>
        </a:p>
      </xdr:txBody>
    </xdr:sp>
    <xdr:clientData/>
  </xdr:twoCellAnchor>
  <xdr:twoCellAnchor>
    <xdr:from>
      <xdr:col>0</xdr:col>
      <xdr:colOff>0</xdr:colOff>
      <xdr:row>0</xdr:row>
      <xdr:rowOff>1</xdr:rowOff>
    </xdr:from>
    <xdr:to>
      <xdr:col>1</xdr:col>
      <xdr:colOff>10297</xdr:colOff>
      <xdr:row>1</xdr:row>
      <xdr:rowOff>10298</xdr:rowOff>
    </xdr:to>
    <xdr:sp macro="" textlink="">
      <xdr:nvSpPr>
        <xdr:cNvPr id="3" name="Rectangle 2">
          <a:extLst>
            <a:ext uri="{FF2B5EF4-FFF2-40B4-BE49-F238E27FC236}">
              <a16:creationId xmlns:a16="http://schemas.microsoft.com/office/drawing/2014/main" id="{74203BEE-3655-46A6-875F-F6794D0B9FB7}"/>
            </a:ext>
          </a:extLst>
        </xdr:cNvPr>
        <xdr:cNvSpPr/>
      </xdr:nvSpPr>
      <xdr:spPr>
        <a:xfrm>
          <a:off x="0" y="1"/>
          <a:ext cx="617838" cy="545756"/>
        </a:xfrm>
        <a:prstGeom prst="rect">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lumMod val="95000"/>
                </a:schemeClr>
              </a:solidFill>
              <a:latin typeface="French Script MT" panose="03020402040607040605" pitchFamily="66" charset="0"/>
            </a:rPr>
            <a:t>AT</a:t>
          </a:r>
        </a:p>
      </xdr:txBody>
    </xdr:sp>
    <xdr:clientData/>
  </xdr:twoCellAnchor>
  <xdr:twoCellAnchor>
    <xdr:from>
      <xdr:col>7</xdr:col>
      <xdr:colOff>594360</xdr:colOff>
      <xdr:row>0</xdr:row>
      <xdr:rowOff>15240</xdr:rowOff>
    </xdr:from>
    <xdr:to>
      <xdr:col>11</xdr:col>
      <xdr:colOff>0</xdr:colOff>
      <xdr:row>0</xdr:row>
      <xdr:rowOff>365760</xdr:rowOff>
    </xdr:to>
    <xdr:sp macro="" textlink="">
      <xdr:nvSpPr>
        <xdr:cNvPr id="9" name="TextBox 8">
          <a:extLst>
            <a:ext uri="{FF2B5EF4-FFF2-40B4-BE49-F238E27FC236}">
              <a16:creationId xmlns:a16="http://schemas.microsoft.com/office/drawing/2014/main" id="{CEDE633C-A89C-2FEF-BECB-A73FE9A0ED14}"/>
            </a:ext>
          </a:extLst>
        </xdr:cNvPr>
        <xdr:cNvSpPr txBox="1"/>
      </xdr:nvSpPr>
      <xdr:spPr>
        <a:xfrm>
          <a:off x="4861560" y="15240"/>
          <a:ext cx="1844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10B981"/>
              </a:solidFill>
            </a:rPr>
            <a:t> Live</a:t>
          </a:r>
          <a:r>
            <a:rPr lang="en-IN" sz="1100" b="1" baseline="0">
              <a:solidFill>
                <a:srgbClr val="10B981"/>
              </a:solidFill>
            </a:rPr>
            <a:t> Data</a:t>
          </a:r>
          <a:endParaRPr lang="en-IN" sz="1100" b="1">
            <a:solidFill>
              <a:srgbClr val="10B981"/>
            </a:solidFill>
          </a:endParaRPr>
        </a:p>
      </xdr:txBody>
    </xdr:sp>
    <xdr:clientData/>
  </xdr:twoCellAnchor>
  <xdr:twoCellAnchor>
    <xdr:from>
      <xdr:col>10</xdr:col>
      <xdr:colOff>601980</xdr:colOff>
      <xdr:row>0</xdr:row>
      <xdr:rowOff>38100</xdr:rowOff>
    </xdr:from>
    <xdr:to>
      <xdr:col>14</xdr:col>
      <xdr:colOff>53340</xdr:colOff>
      <xdr:row>0</xdr:row>
      <xdr:rowOff>358140</xdr:rowOff>
    </xdr:to>
    <xdr:sp macro="" textlink="">
      <xdr:nvSpPr>
        <xdr:cNvPr id="10" name="TextBox 9">
          <a:extLst>
            <a:ext uri="{FF2B5EF4-FFF2-40B4-BE49-F238E27FC236}">
              <a16:creationId xmlns:a16="http://schemas.microsoft.com/office/drawing/2014/main" id="{5106ADBA-88A9-4850-B733-5E91C38E93F1}"/>
            </a:ext>
          </a:extLst>
        </xdr:cNvPr>
        <xdr:cNvSpPr txBox="1"/>
      </xdr:nvSpPr>
      <xdr:spPr>
        <a:xfrm>
          <a:off x="6697980" y="38100"/>
          <a:ext cx="18897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lumMod val="85000"/>
                </a:schemeClr>
              </a:solidFill>
            </a:rPr>
            <a:t>jan</a:t>
          </a:r>
          <a:r>
            <a:rPr lang="en-IN" sz="1000" b="1" baseline="0">
              <a:solidFill>
                <a:schemeClr val="bg1">
                  <a:lumMod val="85000"/>
                </a:schemeClr>
              </a:solidFill>
            </a:rPr>
            <a:t> - jun 2025</a:t>
          </a:r>
          <a:endParaRPr lang="en-IN" sz="1000" b="1">
            <a:solidFill>
              <a:schemeClr val="bg1">
                <a:lumMod val="85000"/>
              </a:schemeClr>
            </a:solidFill>
          </a:endParaRPr>
        </a:p>
      </xdr:txBody>
    </xdr:sp>
    <xdr:clientData/>
  </xdr:twoCellAnchor>
  <xdr:twoCellAnchor>
    <xdr:from>
      <xdr:col>0</xdr:col>
      <xdr:colOff>457200</xdr:colOff>
      <xdr:row>0</xdr:row>
      <xdr:rowOff>259080</xdr:rowOff>
    </xdr:from>
    <xdr:to>
      <xdr:col>4</xdr:col>
      <xdr:colOff>60960</xdr:colOff>
      <xdr:row>0</xdr:row>
      <xdr:rowOff>434340</xdr:rowOff>
    </xdr:to>
    <xdr:sp macro="" textlink="">
      <xdr:nvSpPr>
        <xdr:cNvPr id="11" name="TextBox 10">
          <a:extLst>
            <a:ext uri="{FF2B5EF4-FFF2-40B4-BE49-F238E27FC236}">
              <a16:creationId xmlns:a16="http://schemas.microsoft.com/office/drawing/2014/main" id="{E38E9B24-829D-FB24-F73E-92B96107FB5B}"/>
            </a:ext>
          </a:extLst>
        </xdr:cNvPr>
        <xdr:cNvSpPr txBox="1"/>
      </xdr:nvSpPr>
      <xdr:spPr>
        <a:xfrm>
          <a:off x="457200" y="259080"/>
          <a:ext cx="2042160" cy="175260"/>
        </a:xfrm>
        <a:prstGeom prst="rect">
          <a:avLst/>
        </a:prstGeom>
        <a:solidFill>
          <a:srgbClr val="F9731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baseline="0">
              <a:solidFill>
                <a:schemeClr val="bg1">
                  <a:lumMod val="85000"/>
                </a:schemeClr>
              </a:solidFill>
              <a:effectLst/>
              <a:latin typeface="+mn-lt"/>
              <a:ea typeface="+mn-ea"/>
              <a:cs typeface="+mn-cs"/>
            </a:rPr>
            <a:t>MIS DASHBOARD - FMCG</a:t>
          </a:r>
          <a:endParaRPr lang="en-IN" sz="1000" b="1">
            <a:solidFill>
              <a:schemeClr val="bg1">
                <a:lumMod val="85000"/>
              </a:schemeClr>
            </a:solidFill>
            <a:effectLst/>
          </a:endParaRPr>
        </a:p>
        <a:p>
          <a:endParaRPr lang="en-IN" sz="1100"/>
        </a:p>
      </xdr:txBody>
    </xdr:sp>
    <xdr:clientData/>
  </xdr:twoCellAnchor>
  <xdr:twoCellAnchor>
    <xdr:from>
      <xdr:col>4</xdr:col>
      <xdr:colOff>548978</xdr:colOff>
      <xdr:row>2</xdr:row>
      <xdr:rowOff>12907</xdr:rowOff>
    </xdr:from>
    <xdr:to>
      <xdr:col>10</xdr:col>
      <xdr:colOff>289273</xdr:colOff>
      <xdr:row>9</xdr:row>
      <xdr:rowOff>33832</xdr:rowOff>
    </xdr:to>
    <xdr:grpSp>
      <xdr:nvGrpSpPr>
        <xdr:cNvPr id="24" name="Group 23">
          <a:extLst>
            <a:ext uri="{FF2B5EF4-FFF2-40B4-BE49-F238E27FC236}">
              <a16:creationId xmlns:a16="http://schemas.microsoft.com/office/drawing/2014/main" id="{35225B85-FCB5-626D-40D2-FE0749903E94}"/>
            </a:ext>
          </a:extLst>
        </xdr:cNvPr>
        <xdr:cNvGrpSpPr/>
      </xdr:nvGrpSpPr>
      <xdr:grpSpPr>
        <a:xfrm>
          <a:off x="2968026" y="799097"/>
          <a:ext cx="3368866" cy="1290925"/>
          <a:chOff x="1463841" y="886726"/>
          <a:chExt cx="3542838" cy="1342428"/>
        </a:xfrm>
      </xdr:grpSpPr>
      <xdr:sp macro="" textlink="">
        <xdr:nvSpPr>
          <xdr:cNvPr id="16" name="Rectangle: Rounded Corners 15">
            <a:extLst>
              <a:ext uri="{FF2B5EF4-FFF2-40B4-BE49-F238E27FC236}">
                <a16:creationId xmlns:a16="http://schemas.microsoft.com/office/drawing/2014/main" id="{504C4C61-580A-4922-8F5C-086D33910E08}"/>
              </a:ext>
            </a:extLst>
          </xdr:cNvPr>
          <xdr:cNvSpPr/>
        </xdr:nvSpPr>
        <xdr:spPr>
          <a:xfrm>
            <a:off x="1463841" y="972555"/>
            <a:ext cx="3542838" cy="1256599"/>
          </a:xfrm>
          <a:prstGeom prst="roundRect">
            <a:avLst/>
          </a:prstGeom>
          <a:solidFill>
            <a:srgbClr val="111827"/>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solidFill>
                <a:srgbClr val="FF0000"/>
              </a:solidFill>
            </a:endParaRPr>
          </a:p>
        </xdr:txBody>
      </xdr:sp>
      <xdr:sp macro="" textlink="">
        <xdr:nvSpPr>
          <xdr:cNvPr id="19" name="Rectangle 18">
            <a:extLst>
              <a:ext uri="{FF2B5EF4-FFF2-40B4-BE49-F238E27FC236}">
                <a16:creationId xmlns:a16="http://schemas.microsoft.com/office/drawing/2014/main" id="{FE7E1DBB-560E-AF1A-6EC4-B06CE39C0C1B}"/>
              </a:ext>
            </a:extLst>
          </xdr:cNvPr>
          <xdr:cNvSpPr/>
        </xdr:nvSpPr>
        <xdr:spPr>
          <a:xfrm>
            <a:off x="1493921" y="886726"/>
            <a:ext cx="3138237" cy="95852"/>
          </a:xfrm>
          <a:prstGeom prst="rect">
            <a:avLst/>
          </a:prstGeom>
          <a:solidFill>
            <a:srgbClr val="F9731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EBDE7B48-E3C0-C66A-7C99-B2DD34A2CBEA}"/>
              </a:ext>
            </a:extLst>
          </xdr:cNvPr>
          <xdr:cNvSpPr txBox="1"/>
        </xdr:nvSpPr>
        <xdr:spPr>
          <a:xfrm>
            <a:off x="1694448" y="1153026"/>
            <a:ext cx="812131" cy="340895"/>
          </a:xfrm>
          <a:prstGeom prst="rect">
            <a:avLst/>
          </a:prstGeom>
          <a:solidFill>
            <a:srgbClr val="1E293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rgbClr val="F97316"/>
              </a:solidFill>
            </a:endParaRPr>
          </a:p>
        </xdr:txBody>
      </xdr:sp>
      <xdr:sp macro="" textlink="">
        <xdr:nvSpPr>
          <xdr:cNvPr id="22" name="TextBox 21">
            <a:extLst>
              <a:ext uri="{FF2B5EF4-FFF2-40B4-BE49-F238E27FC236}">
                <a16:creationId xmlns:a16="http://schemas.microsoft.com/office/drawing/2014/main" id="{78BC807B-3897-B70A-EA45-7E1BAEE5191F}"/>
              </a:ext>
            </a:extLst>
          </xdr:cNvPr>
          <xdr:cNvSpPr txBox="1"/>
        </xdr:nvSpPr>
        <xdr:spPr>
          <a:xfrm>
            <a:off x="2677026" y="1072816"/>
            <a:ext cx="1223211" cy="47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64748B"/>
                </a:solidFill>
              </a:rPr>
              <a:t>Total Revenue</a:t>
            </a:r>
          </a:p>
        </xdr:txBody>
      </xdr:sp>
      <xdr:sp macro="" textlink="$T$54">
        <xdr:nvSpPr>
          <xdr:cNvPr id="23" name="TextBox 22">
            <a:extLst>
              <a:ext uri="{FF2B5EF4-FFF2-40B4-BE49-F238E27FC236}">
                <a16:creationId xmlns:a16="http://schemas.microsoft.com/office/drawing/2014/main" id="{18F31405-8FA1-438B-BA93-3E35BCD68737}"/>
              </a:ext>
            </a:extLst>
          </xdr:cNvPr>
          <xdr:cNvSpPr txBox="1"/>
        </xdr:nvSpPr>
        <xdr:spPr>
          <a:xfrm>
            <a:off x="2396289" y="1403684"/>
            <a:ext cx="1844842" cy="55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D197E9-D6D0-4055-A5E8-D0D31BCC610F}" type="TxLink">
              <a:rPr lang="en-US" sz="2000" b="1" i="0" u="none" strike="noStrike">
                <a:solidFill>
                  <a:srgbClr val="EA580C"/>
                </a:solidFill>
                <a:latin typeface="Calibri"/>
                <a:ea typeface="Calibri"/>
                <a:cs typeface="Calibri"/>
              </a:rPr>
              <a:pPr algn="ctr"/>
              <a:t>₹ 16,26,793.73</a:t>
            </a:fld>
            <a:endParaRPr lang="en-US" sz="2000" b="1">
              <a:solidFill>
                <a:srgbClr val="EA580C"/>
              </a:solidFill>
            </a:endParaRPr>
          </a:p>
        </xdr:txBody>
      </xdr:sp>
    </xdr:grpSp>
    <xdr:clientData/>
  </xdr:twoCellAnchor>
  <xdr:twoCellAnchor>
    <xdr:from>
      <xdr:col>11</xdr:col>
      <xdr:colOff>395147</xdr:colOff>
      <xdr:row>2</xdr:row>
      <xdr:rowOff>12907</xdr:rowOff>
    </xdr:from>
    <xdr:to>
      <xdr:col>17</xdr:col>
      <xdr:colOff>135947</xdr:colOff>
      <xdr:row>9</xdr:row>
      <xdr:rowOff>35507</xdr:rowOff>
    </xdr:to>
    <xdr:grpSp>
      <xdr:nvGrpSpPr>
        <xdr:cNvPr id="31" name="Group 30">
          <a:extLst>
            <a:ext uri="{FF2B5EF4-FFF2-40B4-BE49-F238E27FC236}">
              <a16:creationId xmlns:a16="http://schemas.microsoft.com/office/drawing/2014/main" id="{995D91E2-F811-4DE5-B930-CCC0907FB5D9}"/>
            </a:ext>
          </a:extLst>
        </xdr:cNvPr>
        <xdr:cNvGrpSpPr/>
      </xdr:nvGrpSpPr>
      <xdr:grpSpPr>
        <a:xfrm>
          <a:off x="7047528" y="799097"/>
          <a:ext cx="3369371" cy="1292600"/>
          <a:chOff x="1463841" y="886726"/>
          <a:chExt cx="3542838" cy="1342428"/>
        </a:xfrm>
      </xdr:grpSpPr>
      <xdr:sp macro="" textlink="">
        <xdr:nvSpPr>
          <xdr:cNvPr id="32" name="Rectangle: Rounded Corners 31">
            <a:extLst>
              <a:ext uri="{FF2B5EF4-FFF2-40B4-BE49-F238E27FC236}">
                <a16:creationId xmlns:a16="http://schemas.microsoft.com/office/drawing/2014/main" id="{5D1CC7FC-D8BB-6EC3-A4D4-67504215ED19}"/>
              </a:ext>
            </a:extLst>
          </xdr:cNvPr>
          <xdr:cNvSpPr/>
        </xdr:nvSpPr>
        <xdr:spPr>
          <a:xfrm>
            <a:off x="1463841" y="972555"/>
            <a:ext cx="3542838" cy="1256599"/>
          </a:xfrm>
          <a:prstGeom prst="roundRect">
            <a:avLst/>
          </a:prstGeom>
          <a:solidFill>
            <a:srgbClr val="111827"/>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solidFill>
                <a:srgbClr val="FF0000"/>
              </a:solidFill>
            </a:endParaRPr>
          </a:p>
        </xdr:txBody>
      </xdr:sp>
      <xdr:sp macro="" textlink="">
        <xdr:nvSpPr>
          <xdr:cNvPr id="33" name="Rectangle 32">
            <a:extLst>
              <a:ext uri="{FF2B5EF4-FFF2-40B4-BE49-F238E27FC236}">
                <a16:creationId xmlns:a16="http://schemas.microsoft.com/office/drawing/2014/main" id="{636F6761-17DC-3A16-B58A-C57ADB45FCF0}"/>
              </a:ext>
            </a:extLst>
          </xdr:cNvPr>
          <xdr:cNvSpPr/>
        </xdr:nvSpPr>
        <xdr:spPr>
          <a:xfrm>
            <a:off x="1493921" y="886726"/>
            <a:ext cx="3138237" cy="95852"/>
          </a:xfrm>
          <a:prstGeom prst="rect">
            <a:avLst/>
          </a:prstGeom>
          <a:solidFill>
            <a:srgbClr val="3B82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B82F6"/>
              </a:solidFill>
            </a:endParaRPr>
          </a:p>
        </xdr:txBody>
      </xdr:sp>
      <xdr:sp macro="" textlink="">
        <xdr:nvSpPr>
          <xdr:cNvPr id="34" name="TextBox 33">
            <a:extLst>
              <a:ext uri="{FF2B5EF4-FFF2-40B4-BE49-F238E27FC236}">
                <a16:creationId xmlns:a16="http://schemas.microsoft.com/office/drawing/2014/main" id="{FDEB5AA7-DD4C-3D2D-1C26-8B8831EF72B7}"/>
              </a:ext>
            </a:extLst>
          </xdr:cNvPr>
          <xdr:cNvSpPr txBox="1"/>
        </xdr:nvSpPr>
        <xdr:spPr>
          <a:xfrm>
            <a:off x="1694448" y="1153026"/>
            <a:ext cx="812131" cy="340895"/>
          </a:xfrm>
          <a:prstGeom prst="rect">
            <a:avLst/>
          </a:prstGeom>
          <a:solidFill>
            <a:srgbClr val="1E3A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rgbClr val="3B82F6"/>
              </a:solidFill>
            </a:endParaRPr>
          </a:p>
        </xdr:txBody>
      </xdr:sp>
      <xdr:sp macro="" textlink="">
        <xdr:nvSpPr>
          <xdr:cNvPr id="35" name="TextBox 34">
            <a:extLst>
              <a:ext uri="{FF2B5EF4-FFF2-40B4-BE49-F238E27FC236}">
                <a16:creationId xmlns:a16="http://schemas.microsoft.com/office/drawing/2014/main" id="{F52BD7E1-5577-0887-8FF0-2D5A0239CC80}"/>
              </a:ext>
            </a:extLst>
          </xdr:cNvPr>
          <xdr:cNvSpPr txBox="1"/>
        </xdr:nvSpPr>
        <xdr:spPr>
          <a:xfrm>
            <a:off x="2677026" y="1072816"/>
            <a:ext cx="1223211" cy="47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64748B"/>
                </a:solidFill>
              </a:rPr>
              <a:t>Total Order</a:t>
            </a:r>
          </a:p>
        </xdr:txBody>
      </xdr:sp>
      <xdr:sp macro="" textlink="$T$55">
        <xdr:nvSpPr>
          <xdr:cNvPr id="36" name="TextBox 35">
            <a:extLst>
              <a:ext uri="{FF2B5EF4-FFF2-40B4-BE49-F238E27FC236}">
                <a16:creationId xmlns:a16="http://schemas.microsoft.com/office/drawing/2014/main" id="{7A162939-7A7E-EC91-CE6E-B62E04060931}"/>
              </a:ext>
            </a:extLst>
          </xdr:cNvPr>
          <xdr:cNvSpPr txBox="1"/>
        </xdr:nvSpPr>
        <xdr:spPr>
          <a:xfrm>
            <a:off x="2396289" y="1403684"/>
            <a:ext cx="1844842" cy="55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9444B-D387-4D30-8AF6-0D692CFA2D08}" type="TxLink">
              <a:rPr lang="en-US" sz="2000" b="1" i="0" u="none" strike="noStrike">
                <a:solidFill>
                  <a:srgbClr val="0070C0"/>
                </a:solidFill>
                <a:latin typeface="Calibri"/>
                <a:ea typeface="Calibri"/>
                <a:cs typeface="Calibri"/>
              </a:rPr>
              <a:pPr algn="ctr"/>
              <a:t>527</a:t>
            </a:fld>
            <a:endParaRPr lang="en-IN" sz="2000" b="1">
              <a:solidFill>
                <a:srgbClr val="0070C0"/>
              </a:solidFill>
            </a:endParaRPr>
          </a:p>
        </xdr:txBody>
      </xdr:sp>
    </xdr:grpSp>
    <xdr:clientData/>
  </xdr:twoCellAnchor>
  <xdr:twoCellAnchor>
    <xdr:from>
      <xdr:col>18</xdr:col>
      <xdr:colOff>241821</xdr:colOff>
      <xdr:row>2</xdr:row>
      <xdr:rowOff>12907</xdr:rowOff>
    </xdr:from>
    <xdr:to>
      <xdr:col>23</xdr:col>
      <xdr:colOff>211221</xdr:colOff>
      <xdr:row>9</xdr:row>
      <xdr:rowOff>35507</xdr:rowOff>
    </xdr:to>
    <xdr:grpSp>
      <xdr:nvGrpSpPr>
        <xdr:cNvPr id="37" name="Group 36">
          <a:extLst>
            <a:ext uri="{FF2B5EF4-FFF2-40B4-BE49-F238E27FC236}">
              <a16:creationId xmlns:a16="http://schemas.microsoft.com/office/drawing/2014/main" id="{2AE92B01-51F8-445F-9DD5-CC8265225AD9}"/>
            </a:ext>
          </a:extLst>
        </xdr:cNvPr>
        <xdr:cNvGrpSpPr/>
      </xdr:nvGrpSpPr>
      <xdr:grpSpPr>
        <a:xfrm>
          <a:off x="11127535" y="799097"/>
          <a:ext cx="3380257" cy="1292600"/>
          <a:chOff x="1440460" y="886726"/>
          <a:chExt cx="3542838" cy="1266115"/>
        </a:xfrm>
      </xdr:grpSpPr>
      <xdr:sp macro="" textlink="">
        <xdr:nvSpPr>
          <xdr:cNvPr id="38" name="Rectangle: Rounded Corners 37">
            <a:extLst>
              <a:ext uri="{FF2B5EF4-FFF2-40B4-BE49-F238E27FC236}">
                <a16:creationId xmlns:a16="http://schemas.microsoft.com/office/drawing/2014/main" id="{1A874974-0804-1B29-B5BC-BEB4D20BDABF}"/>
              </a:ext>
            </a:extLst>
          </xdr:cNvPr>
          <xdr:cNvSpPr/>
        </xdr:nvSpPr>
        <xdr:spPr>
          <a:xfrm>
            <a:off x="1440460" y="896242"/>
            <a:ext cx="3542838" cy="1256599"/>
          </a:xfrm>
          <a:prstGeom prst="roundRect">
            <a:avLst/>
          </a:prstGeom>
          <a:solidFill>
            <a:srgbClr val="111827"/>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solidFill>
                <a:srgbClr val="FF0000"/>
              </a:solidFill>
            </a:endParaRPr>
          </a:p>
        </xdr:txBody>
      </xdr:sp>
      <xdr:sp macro="" textlink="">
        <xdr:nvSpPr>
          <xdr:cNvPr id="39" name="Rectangle 38">
            <a:extLst>
              <a:ext uri="{FF2B5EF4-FFF2-40B4-BE49-F238E27FC236}">
                <a16:creationId xmlns:a16="http://schemas.microsoft.com/office/drawing/2014/main" id="{77160F2A-C954-70E1-D0BA-36C292246C11}"/>
              </a:ext>
            </a:extLst>
          </xdr:cNvPr>
          <xdr:cNvSpPr/>
        </xdr:nvSpPr>
        <xdr:spPr>
          <a:xfrm>
            <a:off x="1493921" y="886726"/>
            <a:ext cx="3138237" cy="95852"/>
          </a:xfrm>
          <a:prstGeom prst="rect">
            <a:avLst/>
          </a:prstGeom>
          <a:solidFill>
            <a:srgbClr val="10B98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B82F6"/>
              </a:solidFill>
            </a:endParaRPr>
          </a:p>
        </xdr:txBody>
      </xdr:sp>
      <xdr:sp macro="" textlink="">
        <xdr:nvSpPr>
          <xdr:cNvPr id="40" name="TextBox 39">
            <a:extLst>
              <a:ext uri="{FF2B5EF4-FFF2-40B4-BE49-F238E27FC236}">
                <a16:creationId xmlns:a16="http://schemas.microsoft.com/office/drawing/2014/main" id="{625F7250-DE06-C413-ADE4-26B825F0EA11}"/>
              </a:ext>
            </a:extLst>
          </xdr:cNvPr>
          <xdr:cNvSpPr txBox="1"/>
        </xdr:nvSpPr>
        <xdr:spPr>
          <a:xfrm>
            <a:off x="1694448" y="1153026"/>
            <a:ext cx="812131" cy="340895"/>
          </a:xfrm>
          <a:prstGeom prst="rect">
            <a:avLst/>
          </a:prstGeom>
          <a:solidFill>
            <a:srgbClr val="064E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rgbClr val="10B981"/>
              </a:solidFill>
            </a:endParaRPr>
          </a:p>
        </xdr:txBody>
      </xdr:sp>
      <xdr:sp macro="" textlink="">
        <xdr:nvSpPr>
          <xdr:cNvPr id="41" name="TextBox 40">
            <a:extLst>
              <a:ext uri="{FF2B5EF4-FFF2-40B4-BE49-F238E27FC236}">
                <a16:creationId xmlns:a16="http://schemas.microsoft.com/office/drawing/2014/main" id="{64B005B9-15A1-1041-15A4-4FB2C2E5DB69}"/>
              </a:ext>
            </a:extLst>
          </xdr:cNvPr>
          <xdr:cNvSpPr txBox="1"/>
        </xdr:nvSpPr>
        <xdr:spPr>
          <a:xfrm>
            <a:off x="2677026" y="1072816"/>
            <a:ext cx="1223211" cy="47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64748B"/>
                </a:solidFill>
              </a:rPr>
              <a:t>Delivery</a:t>
            </a:r>
            <a:r>
              <a:rPr lang="en-IN" sz="1100" b="1" baseline="0">
                <a:solidFill>
                  <a:srgbClr val="64748B"/>
                </a:solidFill>
              </a:rPr>
              <a:t> Rate</a:t>
            </a:r>
            <a:endParaRPr lang="en-IN" sz="1100" b="1">
              <a:solidFill>
                <a:srgbClr val="64748B"/>
              </a:solidFill>
            </a:endParaRPr>
          </a:p>
        </xdr:txBody>
      </xdr:sp>
      <xdr:sp macro="" textlink="$T$56">
        <xdr:nvSpPr>
          <xdr:cNvPr id="42" name="TextBox 41">
            <a:extLst>
              <a:ext uri="{FF2B5EF4-FFF2-40B4-BE49-F238E27FC236}">
                <a16:creationId xmlns:a16="http://schemas.microsoft.com/office/drawing/2014/main" id="{ED470BF0-0BB2-E68E-7320-3E17F6592A0C}"/>
              </a:ext>
            </a:extLst>
          </xdr:cNvPr>
          <xdr:cNvSpPr txBox="1"/>
        </xdr:nvSpPr>
        <xdr:spPr>
          <a:xfrm>
            <a:off x="2396289" y="1403684"/>
            <a:ext cx="1844842" cy="55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983E39-3BC1-4836-B6C2-929FD3FD9788}" type="TxLink">
              <a:rPr lang="en-US" sz="2000" b="1" i="0" u="none" strike="noStrike">
                <a:solidFill>
                  <a:srgbClr val="00B050"/>
                </a:solidFill>
                <a:latin typeface="Calibri"/>
                <a:ea typeface="Calibri"/>
                <a:cs typeface="Calibri"/>
              </a:rPr>
              <a:pPr algn="ctr"/>
              <a:t>56.55%</a:t>
            </a:fld>
            <a:endParaRPr lang="en-IN" sz="2000" b="1">
              <a:solidFill>
                <a:srgbClr val="00B050"/>
              </a:solidFill>
            </a:endParaRPr>
          </a:p>
        </xdr:txBody>
      </xdr:sp>
    </xdr:grpSp>
    <xdr:clientData/>
  </xdr:twoCellAnchor>
  <xdr:twoCellAnchor>
    <xdr:from>
      <xdr:col>24</xdr:col>
      <xdr:colOff>317095</xdr:colOff>
      <xdr:row>2</xdr:row>
      <xdr:rowOff>12907</xdr:rowOff>
    </xdr:from>
    <xdr:to>
      <xdr:col>29</xdr:col>
      <xdr:colOff>375395</xdr:colOff>
      <xdr:row>9</xdr:row>
      <xdr:rowOff>35507</xdr:rowOff>
    </xdr:to>
    <xdr:grpSp>
      <xdr:nvGrpSpPr>
        <xdr:cNvPr id="43" name="Group 42">
          <a:extLst>
            <a:ext uri="{FF2B5EF4-FFF2-40B4-BE49-F238E27FC236}">
              <a16:creationId xmlns:a16="http://schemas.microsoft.com/office/drawing/2014/main" id="{C4E576F4-E2D9-4161-BBC6-1A3C112AEDFC}"/>
            </a:ext>
          </a:extLst>
        </xdr:cNvPr>
        <xdr:cNvGrpSpPr/>
      </xdr:nvGrpSpPr>
      <xdr:grpSpPr>
        <a:xfrm>
          <a:off x="15218428" y="799097"/>
          <a:ext cx="3384491" cy="1292600"/>
          <a:chOff x="1463841" y="886726"/>
          <a:chExt cx="3542838" cy="1342428"/>
        </a:xfrm>
      </xdr:grpSpPr>
      <xdr:sp macro="" textlink="">
        <xdr:nvSpPr>
          <xdr:cNvPr id="44" name="Rectangle: Rounded Corners 43">
            <a:extLst>
              <a:ext uri="{FF2B5EF4-FFF2-40B4-BE49-F238E27FC236}">
                <a16:creationId xmlns:a16="http://schemas.microsoft.com/office/drawing/2014/main" id="{8CE651E6-0992-5B05-F9AF-70312A4FA05B}"/>
              </a:ext>
            </a:extLst>
          </xdr:cNvPr>
          <xdr:cNvSpPr/>
        </xdr:nvSpPr>
        <xdr:spPr>
          <a:xfrm>
            <a:off x="1463841" y="972555"/>
            <a:ext cx="3542838" cy="1256599"/>
          </a:xfrm>
          <a:prstGeom prst="roundRect">
            <a:avLst/>
          </a:prstGeom>
          <a:solidFill>
            <a:srgbClr val="111827"/>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solidFill>
                <a:srgbClr val="FF0000"/>
              </a:solidFill>
            </a:endParaRPr>
          </a:p>
        </xdr:txBody>
      </xdr:sp>
      <xdr:sp macro="" textlink="">
        <xdr:nvSpPr>
          <xdr:cNvPr id="45" name="Rectangle 44">
            <a:extLst>
              <a:ext uri="{FF2B5EF4-FFF2-40B4-BE49-F238E27FC236}">
                <a16:creationId xmlns:a16="http://schemas.microsoft.com/office/drawing/2014/main" id="{6679B36A-A19D-C5B8-69A7-F59C339229C2}"/>
              </a:ext>
            </a:extLst>
          </xdr:cNvPr>
          <xdr:cNvSpPr/>
        </xdr:nvSpPr>
        <xdr:spPr>
          <a:xfrm>
            <a:off x="1493921" y="886726"/>
            <a:ext cx="3138237" cy="95852"/>
          </a:xfrm>
          <a:prstGeom prst="rect">
            <a:avLst/>
          </a:prstGeom>
          <a:solidFill>
            <a:srgbClr val="8B5CF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B82F6"/>
              </a:solidFill>
            </a:endParaRPr>
          </a:p>
        </xdr:txBody>
      </xdr:sp>
      <xdr:sp macro="" textlink="">
        <xdr:nvSpPr>
          <xdr:cNvPr id="46" name="TextBox 45">
            <a:extLst>
              <a:ext uri="{FF2B5EF4-FFF2-40B4-BE49-F238E27FC236}">
                <a16:creationId xmlns:a16="http://schemas.microsoft.com/office/drawing/2014/main" id="{9144A66D-2A9A-3735-9AE6-A2BAE020F43D}"/>
              </a:ext>
            </a:extLst>
          </xdr:cNvPr>
          <xdr:cNvSpPr txBox="1"/>
        </xdr:nvSpPr>
        <xdr:spPr>
          <a:xfrm>
            <a:off x="1694446" y="1153026"/>
            <a:ext cx="812681" cy="341726"/>
          </a:xfrm>
          <a:prstGeom prst="rect">
            <a:avLst/>
          </a:prstGeom>
          <a:solidFill>
            <a:srgbClr val="2E106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rgbClr val="8B5CF6"/>
              </a:solidFill>
            </a:endParaRPr>
          </a:p>
        </xdr:txBody>
      </xdr:sp>
      <xdr:sp macro="" textlink="">
        <xdr:nvSpPr>
          <xdr:cNvPr id="47" name="TextBox 46">
            <a:extLst>
              <a:ext uri="{FF2B5EF4-FFF2-40B4-BE49-F238E27FC236}">
                <a16:creationId xmlns:a16="http://schemas.microsoft.com/office/drawing/2014/main" id="{78AD224C-30EE-F138-F988-B6A7A55DA9B4}"/>
              </a:ext>
            </a:extLst>
          </xdr:cNvPr>
          <xdr:cNvSpPr txBox="1"/>
        </xdr:nvSpPr>
        <xdr:spPr>
          <a:xfrm>
            <a:off x="2677026" y="1072816"/>
            <a:ext cx="1223211" cy="47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64748B"/>
                </a:solidFill>
              </a:rPr>
              <a:t>Best</a:t>
            </a:r>
            <a:r>
              <a:rPr lang="en-IN" sz="1100" b="1" baseline="0">
                <a:solidFill>
                  <a:srgbClr val="64748B"/>
                </a:solidFill>
              </a:rPr>
              <a:t> Salesman</a:t>
            </a:r>
            <a:endParaRPr lang="en-IN" sz="1100" b="1">
              <a:solidFill>
                <a:srgbClr val="64748B"/>
              </a:solidFill>
            </a:endParaRPr>
          </a:p>
        </xdr:txBody>
      </xdr:sp>
      <xdr:sp macro="" textlink="$T$57">
        <xdr:nvSpPr>
          <xdr:cNvPr id="48" name="TextBox 47">
            <a:extLst>
              <a:ext uri="{FF2B5EF4-FFF2-40B4-BE49-F238E27FC236}">
                <a16:creationId xmlns:a16="http://schemas.microsoft.com/office/drawing/2014/main" id="{ABDE883C-684E-315D-96F7-C31301CD673E}"/>
              </a:ext>
            </a:extLst>
          </xdr:cNvPr>
          <xdr:cNvSpPr txBox="1"/>
        </xdr:nvSpPr>
        <xdr:spPr>
          <a:xfrm>
            <a:off x="2396289" y="1403684"/>
            <a:ext cx="1844842" cy="551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D0494C-9BDF-4FB9-A9A3-25075193AF4A}" type="TxLink">
              <a:rPr lang="en-US" sz="2000" b="1" i="0" u="none" strike="noStrike">
                <a:solidFill>
                  <a:srgbClr val="7030A0"/>
                </a:solidFill>
                <a:latin typeface="Calibri"/>
                <a:ea typeface="Calibri"/>
                <a:cs typeface="Calibri"/>
              </a:rPr>
              <a:pPr algn="ctr"/>
              <a:t>Priya Sharma</a:t>
            </a:fld>
            <a:endParaRPr lang="en-IN" sz="2000" b="1">
              <a:solidFill>
                <a:srgbClr val="7030A0"/>
              </a:solidFill>
            </a:endParaRPr>
          </a:p>
        </xdr:txBody>
      </xdr:sp>
    </xdr:grpSp>
    <xdr:clientData/>
  </xdr:twoCellAnchor>
  <xdr:twoCellAnchor>
    <xdr:from>
      <xdr:col>4</xdr:col>
      <xdr:colOff>491451</xdr:colOff>
      <xdr:row>10</xdr:row>
      <xdr:rowOff>104886</xdr:rowOff>
    </xdr:from>
    <xdr:to>
      <xdr:col>11</xdr:col>
      <xdr:colOff>323205</xdr:colOff>
      <xdr:row>22</xdr:row>
      <xdr:rowOff>27586</xdr:rowOff>
    </xdr:to>
    <xdr:graphicFrame macro="">
      <xdr:nvGraphicFramePr>
        <xdr:cNvPr id="4" name="Chart 3">
          <a:extLst>
            <a:ext uri="{FF2B5EF4-FFF2-40B4-BE49-F238E27FC236}">
              <a16:creationId xmlns:a16="http://schemas.microsoft.com/office/drawing/2014/main" id="{D3EB7F5B-FE09-47D8-8CD2-3ED73B979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74934</xdr:colOff>
      <xdr:row>10</xdr:row>
      <xdr:rowOff>104886</xdr:rowOff>
    </xdr:from>
    <xdr:to>
      <xdr:col>20</xdr:col>
      <xdr:colOff>136734</xdr:colOff>
      <xdr:row>22</xdr:row>
      <xdr:rowOff>29086</xdr:rowOff>
    </xdr:to>
    <xdr:graphicFrame macro="">
      <xdr:nvGraphicFramePr>
        <xdr:cNvPr id="5" name="Chart 4">
          <a:extLst>
            <a:ext uri="{FF2B5EF4-FFF2-40B4-BE49-F238E27FC236}">
              <a16:creationId xmlns:a16="http://schemas.microsoft.com/office/drawing/2014/main" id="{A90F7B09-F10E-4796-879D-EDA06D88E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490728</xdr:colOff>
      <xdr:row>24</xdr:row>
      <xdr:rowOff>25815</xdr:rowOff>
    </xdr:from>
    <xdr:to>
      <xdr:col>11</xdr:col>
      <xdr:colOff>323928</xdr:colOff>
      <xdr:row>36</xdr:row>
      <xdr:rowOff>127815</xdr:rowOff>
    </xdr:to>
    <xdr:graphicFrame macro="">
      <xdr:nvGraphicFramePr>
        <xdr:cNvPr id="6" name="Chart 5">
          <a:extLst>
            <a:ext uri="{FF2B5EF4-FFF2-40B4-BE49-F238E27FC236}">
              <a16:creationId xmlns:a16="http://schemas.microsoft.com/office/drawing/2014/main" id="{5B321A63-CA06-4809-AA75-D8BE77F91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74934</xdr:colOff>
      <xdr:row>24</xdr:row>
      <xdr:rowOff>25815</xdr:rowOff>
    </xdr:from>
    <xdr:to>
      <xdr:col>20</xdr:col>
      <xdr:colOff>136734</xdr:colOff>
      <xdr:row>36</xdr:row>
      <xdr:rowOff>127815</xdr:rowOff>
    </xdr:to>
    <xdr:graphicFrame macro="">
      <xdr:nvGraphicFramePr>
        <xdr:cNvPr id="7" name="Chart 6">
          <a:extLst>
            <a:ext uri="{FF2B5EF4-FFF2-40B4-BE49-F238E27FC236}">
              <a16:creationId xmlns:a16="http://schemas.microsoft.com/office/drawing/2014/main" id="{09441F22-D7A2-464C-A1C3-704EC46C1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19724</xdr:colOff>
      <xdr:row>13</xdr:row>
      <xdr:rowOff>66189</xdr:rowOff>
    </xdr:from>
    <xdr:to>
      <xdr:col>4</xdr:col>
      <xdr:colOff>258576</xdr:colOff>
      <xdr:row>23</xdr:row>
      <xdr:rowOff>169498</xdr:rowOff>
    </xdr:to>
    <mc:AlternateContent xmlns:mc="http://schemas.openxmlformats.org/markup-compatibility/2006" xmlns:a14="http://schemas.microsoft.com/office/drawing/2010/main">
      <mc:Choice Requires="a14">
        <xdr:graphicFrame macro="">
          <xdr:nvGraphicFramePr>
            <xdr:cNvPr id="8" name="Salesman_Name 2">
              <a:extLst>
                <a:ext uri="{FF2B5EF4-FFF2-40B4-BE49-F238E27FC236}">
                  <a16:creationId xmlns:a16="http://schemas.microsoft.com/office/drawing/2014/main" id="{4DCB1D24-2848-4CEF-96FC-2E82D93AC593}"/>
                </a:ext>
              </a:extLst>
            </xdr:cNvPr>
            <xdr:cNvGraphicFramePr/>
          </xdr:nvGraphicFramePr>
          <xdr:xfrm>
            <a:off x="0" y="0"/>
            <a:ext cx="0" cy="0"/>
          </xdr:xfrm>
          <a:graphic>
            <a:graphicData uri="http://schemas.microsoft.com/office/drawing/2010/slicer">
              <sle:slicer xmlns:sle="http://schemas.microsoft.com/office/drawing/2010/slicer" name="Salesman_Name 2"/>
            </a:graphicData>
          </a:graphic>
        </xdr:graphicFrame>
      </mc:Choice>
      <mc:Fallback xmlns="">
        <xdr:sp macro="" textlink="">
          <xdr:nvSpPr>
            <xdr:cNvPr id="0" name=""/>
            <xdr:cNvSpPr>
              <a:spLocks noTextEdit="1"/>
            </xdr:cNvSpPr>
          </xdr:nvSpPr>
          <xdr:spPr>
            <a:xfrm>
              <a:off x="19724" y="3017427"/>
              <a:ext cx="2657900" cy="1917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xdr:row>
      <xdr:rowOff>225727</xdr:rowOff>
    </xdr:from>
    <xdr:to>
      <xdr:col>4</xdr:col>
      <xdr:colOff>259250</xdr:colOff>
      <xdr:row>12</xdr:row>
      <xdr:rowOff>76200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18F1D17B-E9DE-4DEB-9963-921ED0A4DF6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050" y="757917"/>
              <a:ext cx="2659248" cy="2088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24</xdr:row>
      <xdr:rowOff>159486</xdr:rowOff>
    </xdr:from>
    <xdr:to>
      <xdr:col>4</xdr:col>
      <xdr:colOff>259250</xdr:colOff>
      <xdr:row>35</xdr:row>
      <xdr:rowOff>81820</xdr:rowOff>
    </xdr:to>
    <mc:AlternateContent xmlns:mc="http://schemas.openxmlformats.org/markup-compatibility/2006" xmlns:a14="http://schemas.microsoft.com/office/drawing/2010/main">
      <mc:Choice Requires="a14">
        <xdr:graphicFrame macro="">
          <xdr:nvGraphicFramePr>
            <xdr:cNvPr id="17" name="Category 2">
              <a:extLst>
                <a:ext uri="{FF2B5EF4-FFF2-40B4-BE49-F238E27FC236}">
                  <a16:creationId xmlns:a16="http://schemas.microsoft.com/office/drawing/2014/main" id="{79917405-05A5-43AF-A538-B56D00DB329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050" y="5106438"/>
              <a:ext cx="2659248" cy="191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360439</xdr:colOff>
      <xdr:row>3</xdr:row>
      <xdr:rowOff>76201</xdr:rowOff>
    </xdr:from>
    <xdr:to>
      <xdr:col>6</xdr:col>
      <xdr:colOff>88900</xdr:colOff>
      <xdr:row>5</xdr:row>
      <xdr:rowOff>52323</xdr:rowOff>
    </xdr:to>
    <xdr:pic>
      <xdr:nvPicPr>
        <xdr:cNvPr id="30" name="Graphic 29" descr="Coins with solid fill">
          <a:extLst>
            <a:ext uri="{FF2B5EF4-FFF2-40B4-BE49-F238E27FC236}">
              <a16:creationId xmlns:a16="http://schemas.microsoft.com/office/drawing/2014/main" id="{0DAC55F4-7AED-30F1-DA12-ED500E7240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08439" y="1041401"/>
          <a:ext cx="338061" cy="331722"/>
        </a:xfrm>
        <a:prstGeom prst="rect">
          <a:avLst/>
        </a:prstGeom>
      </xdr:spPr>
    </xdr:pic>
    <xdr:clientData/>
  </xdr:twoCellAnchor>
  <xdr:twoCellAnchor editAs="oneCell">
    <xdr:from>
      <xdr:col>19</xdr:col>
      <xdr:colOff>64422</xdr:colOff>
      <xdr:row>3</xdr:row>
      <xdr:rowOff>137201</xdr:rowOff>
    </xdr:from>
    <xdr:to>
      <xdr:col>19</xdr:col>
      <xdr:colOff>395834</xdr:colOff>
      <xdr:row>5</xdr:row>
      <xdr:rowOff>94967</xdr:rowOff>
    </xdr:to>
    <xdr:pic>
      <xdr:nvPicPr>
        <xdr:cNvPr id="50" name="Graphic 49" descr="Shopping cart with solid fill">
          <a:extLst>
            <a:ext uri="{FF2B5EF4-FFF2-40B4-BE49-F238E27FC236}">
              <a16:creationId xmlns:a16="http://schemas.microsoft.com/office/drawing/2014/main" id="{A441B692-B909-8BDB-128F-402A3EB4D2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46822" y="1102401"/>
          <a:ext cx="331412" cy="313366"/>
        </a:xfrm>
        <a:prstGeom prst="rect">
          <a:avLst/>
        </a:prstGeom>
      </xdr:spPr>
    </xdr:pic>
    <xdr:clientData/>
  </xdr:twoCellAnchor>
  <xdr:twoCellAnchor editAs="oneCell">
    <xdr:from>
      <xdr:col>12</xdr:col>
      <xdr:colOff>179279</xdr:colOff>
      <xdr:row>3</xdr:row>
      <xdr:rowOff>7903</xdr:rowOff>
    </xdr:from>
    <xdr:to>
      <xdr:col>13</xdr:col>
      <xdr:colOff>38101</xdr:colOff>
      <xdr:row>5</xdr:row>
      <xdr:rowOff>107312</xdr:rowOff>
    </xdr:to>
    <xdr:pic>
      <xdr:nvPicPr>
        <xdr:cNvPr id="52" name="Graphic 51" descr="Truck with solid fill">
          <a:extLst>
            <a:ext uri="{FF2B5EF4-FFF2-40B4-BE49-F238E27FC236}">
              <a16:creationId xmlns:a16="http://schemas.microsoft.com/office/drawing/2014/main" id="{1A3A0825-9FE4-CE8F-22B4-448CE0F8F1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94479" y="973103"/>
          <a:ext cx="468422" cy="455009"/>
        </a:xfrm>
        <a:prstGeom prst="rect">
          <a:avLst/>
        </a:prstGeom>
      </xdr:spPr>
    </xdr:pic>
    <xdr:clientData/>
  </xdr:twoCellAnchor>
  <xdr:twoCellAnchor editAs="oneCell">
    <xdr:from>
      <xdr:col>25</xdr:col>
      <xdr:colOff>71829</xdr:colOff>
      <xdr:row>3</xdr:row>
      <xdr:rowOff>58306</xdr:rowOff>
    </xdr:from>
    <xdr:to>
      <xdr:col>25</xdr:col>
      <xdr:colOff>466215</xdr:colOff>
      <xdr:row>5</xdr:row>
      <xdr:rowOff>82496</xdr:rowOff>
    </xdr:to>
    <xdr:pic>
      <xdr:nvPicPr>
        <xdr:cNvPr id="54" name="Graphic 53" descr="User with solid fill">
          <a:extLst>
            <a:ext uri="{FF2B5EF4-FFF2-40B4-BE49-F238E27FC236}">
              <a16:creationId xmlns:a16="http://schemas.microsoft.com/office/drawing/2014/main" id="{7F2719E7-577D-0BCD-9B93-ECDE23C502D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692829" y="1023506"/>
          <a:ext cx="394386" cy="379790"/>
        </a:xfrm>
        <a:prstGeom prst="rect">
          <a:avLst/>
        </a:prstGeom>
      </xdr:spPr>
    </xdr:pic>
    <xdr:clientData/>
  </xdr:twoCellAnchor>
  <xdr:twoCellAnchor>
    <xdr:from>
      <xdr:col>22</xdr:col>
      <xdr:colOff>9790</xdr:colOff>
      <xdr:row>10</xdr:row>
      <xdr:rowOff>171436</xdr:rowOff>
    </xdr:from>
    <xdr:to>
      <xdr:col>29</xdr:col>
      <xdr:colOff>519544</xdr:colOff>
      <xdr:row>36</xdr:row>
      <xdr:rowOff>52865</xdr:rowOff>
    </xdr:to>
    <xdr:sp macro="" textlink="">
      <xdr:nvSpPr>
        <xdr:cNvPr id="111" name="Rectangle: Rounded Corners 110">
          <a:extLst>
            <a:ext uri="{FF2B5EF4-FFF2-40B4-BE49-F238E27FC236}">
              <a16:creationId xmlns:a16="http://schemas.microsoft.com/office/drawing/2014/main" id="{E256C39D-CDCA-416E-3570-A06E570358BD}"/>
            </a:ext>
          </a:extLst>
        </xdr:cNvPr>
        <xdr:cNvSpPr/>
      </xdr:nvSpPr>
      <xdr:spPr>
        <a:xfrm>
          <a:off x="13725790" y="2492072"/>
          <a:ext cx="5047118" cy="4990293"/>
        </a:xfrm>
        <a:prstGeom prst="roundRect">
          <a:avLst/>
        </a:prstGeom>
        <a:solidFill>
          <a:srgbClr val="111827"/>
        </a:solidFill>
        <a:ln w="19050">
          <a:solidFill>
            <a:srgbClr val="F9731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379640</xdr:colOff>
      <xdr:row>10</xdr:row>
      <xdr:rowOff>258754</xdr:rowOff>
    </xdr:from>
    <xdr:to>
      <xdr:col>27</xdr:col>
      <xdr:colOff>558936</xdr:colOff>
      <xdr:row>13</xdr:row>
      <xdr:rowOff>49577</xdr:rowOff>
    </xdr:to>
    <xdr:sp macro="" textlink="">
      <xdr:nvSpPr>
        <xdr:cNvPr id="112" name="TextBox 111">
          <a:extLst>
            <a:ext uri="{FF2B5EF4-FFF2-40B4-BE49-F238E27FC236}">
              <a16:creationId xmlns:a16="http://schemas.microsoft.com/office/drawing/2014/main" id="{5B9F0836-A933-32C1-FF31-E94D58312FED}"/>
            </a:ext>
          </a:extLst>
        </xdr:cNvPr>
        <xdr:cNvSpPr txBox="1"/>
      </xdr:nvSpPr>
      <xdr:spPr>
        <a:xfrm>
          <a:off x="14701776" y="2579390"/>
          <a:ext cx="2603842" cy="51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97316"/>
              </a:solidFill>
              <a:latin typeface="Arial Black" panose="020B0A04020102020204" pitchFamily="34" charset="0"/>
            </a:rPr>
            <a:t>Key Insights</a:t>
          </a:r>
        </a:p>
      </xdr:txBody>
    </xdr:sp>
    <xdr:clientData/>
  </xdr:twoCellAnchor>
  <xdr:twoCellAnchor>
    <xdr:from>
      <xdr:col>22</xdr:col>
      <xdr:colOff>218683</xdr:colOff>
      <xdr:row>13</xdr:row>
      <xdr:rowOff>119529</xdr:rowOff>
    </xdr:from>
    <xdr:to>
      <xdr:col>29</xdr:col>
      <xdr:colOff>338213</xdr:colOff>
      <xdr:row>13</xdr:row>
      <xdr:rowOff>134471</xdr:rowOff>
    </xdr:to>
    <xdr:cxnSp macro="">
      <xdr:nvCxnSpPr>
        <xdr:cNvPr id="114" name="Straight Connector 113">
          <a:extLst>
            <a:ext uri="{FF2B5EF4-FFF2-40B4-BE49-F238E27FC236}">
              <a16:creationId xmlns:a16="http://schemas.microsoft.com/office/drawing/2014/main" id="{7C3521B1-E343-0908-5E4D-D0AF4EE8C776}"/>
            </a:ext>
          </a:extLst>
        </xdr:cNvPr>
        <xdr:cNvCxnSpPr/>
      </xdr:nvCxnSpPr>
      <xdr:spPr>
        <a:xfrm flipV="1">
          <a:off x="13934683" y="3167529"/>
          <a:ext cx="4656894" cy="14942"/>
        </a:xfrm>
        <a:prstGeom prst="line">
          <a:avLst/>
        </a:prstGeom>
        <a:ln w="12700">
          <a:solidFill>
            <a:srgbClr val="F9731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267822</xdr:colOff>
      <xdr:row>15</xdr:row>
      <xdr:rowOff>112398</xdr:rowOff>
    </xdr:from>
    <xdr:to>
      <xdr:col>29</xdr:col>
      <xdr:colOff>222998</xdr:colOff>
      <xdr:row>32</xdr:row>
      <xdr:rowOff>140648</xdr:rowOff>
    </xdr:to>
    <xdr:grpSp>
      <xdr:nvGrpSpPr>
        <xdr:cNvPr id="138" name="Group 137">
          <a:extLst>
            <a:ext uri="{FF2B5EF4-FFF2-40B4-BE49-F238E27FC236}">
              <a16:creationId xmlns:a16="http://schemas.microsoft.com/office/drawing/2014/main" id="{415809F3-0B9D-7C61-8288-0CD4427E648A}"/>
            </a:ext>
          </a:extLst>
        </xdr:cNvPr>
        <xdr:cNvGrpSpPr/>
      </xdr:nvGrpSpPr>
      <xdr:grpSpPr>
        <a:xfrm>
          <a:off x="13959632" y="3426493"/>
          <a:ext cx="4490890" cy="3112536"/>
          <a:chOff x="13947248" y="3541398"/>
          <a:chExt cx="4492540" cy="3266750"/>
        </a:xfrm>
      </xdr:grpSpPr>
      <xdr:grpSp>
        <xdr:nvGrpSpPr>
          <xdr:cNvPr id="117" name="Group 116">
            <a:extLst>
              <a:ext uri="{FF2B5EF4-FFF2-40B4-BE49-F238E27FC236}">
                <a16:creationId xmlns:a16="http://schemas.microsoft.com/office/drawing/2014/main" id="{1F522B91-B438-302B-CAF9-122734EC22A8}"/>
              </a:ext>
            </a:extLst>
          </xdr:cNvPr>
          <xdr:cNvGrpSpPr/>
        </xdr:nvGrpSpPr>
        <xdr:grpSpPr>
          <a:xfrm>
            <a:off x="13947248" y="3541398"/>
            <a:ext cx="4492540" cy="437029"/>
            <a:chOff x="13971494" y="3311413"/>
            <a:chExt cx="4519556" cy="414169"/>
          </a:xfrm>
        </xdr:grpSpPr>
        <xdr:sp macro="" textlink="">
          <xdr:nvSpPr>
            <xdr:cNvPr id="115" name="Rectangle 114">
              <a:extLst>
                <a:ext uri="{FF2B5EF4-FFF2-40B4-BE49-F238E27FC236}">
                  <a16:creationId xmlns:a16="http://schemas.microsoft.com/office/drawing/2014/main" id="{34837031-C191-C29B-D440-CC1F6DAFD65C}"/>
                </a:ext>
              </a:extLst>
            </xdr:cNvPr>
            <xdr:cNvSpPr/>
          </xdr:nvSpPr>
          <xdr:spPr>
            <a:xfrm>
              <a:off x="13971494" y="3311413"/>
              <a:ext cx="4519556" cy="414169"/>
            </a:xfrm>
            <a:prstGeom prst="rect">
              <a:avLst/>
            </a:prstGeom>
            <a:solidFill>
              <a:srgbClr val="1E293B"/>
            </a:solidFill>
            <a:ln w="9525">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6" name="TextBox 115">
              <a:extLst>
                <a:ext uri="{FF2B5EF4-FFF2-40B4-BE49-F238E27FC236}">
                  <a16:creationId xmlns:a16="http://schemas.microsoft.com/office/drawing/2014/main" id="{4658389B-F9CB-EC42-3CD7-53CA1AE41B1B}"/>
                </a:ext>
              </a:extLst>
            </xdr:cNvPr>
            <xdr:cNvSpPr txBox="1"/>
          </xdr:nvSpPr>
          <xdr:spPr>
            <a:xfrm>
              <a:off x="14058660" y="3359822"/>
              <a:ext cx="4178898" cy="30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E2E8F0"/>
                  </a:solidFill>
                </a:rPr>
                <a:t>📍North Region leads with</a:t>
              </a:r>
              <a:r>
                <a:rPr lang="en-IN" sz="1100" baseline="0">
                  <a:solidFill>
                    <a:srgbClr val="E2E8F0"/>
                  </a:solidFill>
                </a:rPr>
                <a:t> ₹7.52L revenue</a:t>
              </a:r>
              <a:endParaRPr lang="en-IN" sz="1100">
                <a:solidFill>
                  <a:srgbClr val="E2E8F0"/>
                </a:solidFill>
              </a:endParaRPr>
            </a:p>
          </xdr:txBody>
        </xdr:sp>
      </xdr:grpSp>
      <xdr:grpSp>
        <xdr:nvGrpSpPr>
          <xdr:cNvPr id="121" name="Group 120">
            <a:extLst>
              <a:ext uri="{FF2B5EF4-FFF2-40B4-BE49-F238E27FC236}">
                <a16:creationId xmlns:a16="http://schemas.microsoft.com/office/drawing/2014/main" id="{946CB8F9-0F52-4782-B76B-5BF4996C85B3}"/>
              </a:ext>
            </a:extLst>
          </xdr:cNvPr>
          <xdr:cNvGrpSpPr/>
        </xdr:nvGrpSpPr>
        <xdr:grpSpPr>
          <a:xfrm>
            <a:off x="13947248" y="6381145"/>
            <a:ext cx="4492540" cy="427003"/>
            <a:chOff x="13932748" y="3311413"/>
            <a:chExt cx="4519556" cy="414169"/>
          </a:xfrm>
        </xdr:grpSpPr>
        <xdr:sp macro="" textlink="">
          <xdr:nvSpPr>
            <xdr:cNvPr id="122" name="Rectangle 121">
              <a:extLst>
                <a:ext uri="{FF2B5EF4-FFF2-40B4-BE49-F238E27FC236}">
                  <a16:creationId xmlns:a16="http://schemas.microsoft.com/office/drawing/2014/main" id="{C1891D72-C706-D181-DF45-3B39709A3E47}"/>
                </a:ext>
              </a:extLst>
            </xdr:cNvPr>
            <xdr:cNvSpPr/>
          </xdr:nvSpPr>
          <xdr:spPr>
            <a:xfrm>
              <a:off x="13932748" y="3311413"/>
              <a:ext cx="4519556" cy="414169"/>
            </a:xfrm>
            <a:prstGeom prst="rect">
              <a:avLst/>
            </a:prstGeom>
            <a:solidFill>
              <a:srgbClr val="1E293B"/>
            </a:solidFill>
            <a:ln w="9525">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 name="TextBox 122">
              <a:extLst>
                <a:ext uri="{FF2B5EF4-FFF2-40B4-BE49-F238E27FC236}">
                  <a16:creationId xmlns:a16="http://schemas.microsoft.com/office/drawing/2014/main" id="{64CF8962-51D5-0B25-692F-3511C7ECBF47}"/>
                </a:ext>
              </a:extLst>
            </xdr:cNvPr>
            <xdr:cNvSpPr txBox="1"/>
          </xdr:nvSpPr>
          <xdr:spPr>
            <a:xfrm>
              <a:off x="14076082" y="3359822"/>
              <a:ext cx="4178898" cy="30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E2E8F0"/>
                  </a:solidFill>
                </a:rPr>
                <a:t>⚠️ Delivery rate 56.5% - needs improvement</a:t>
              </a:r>
            </a:p>
          </xdr:txBody>
        </xdr:sp>
      </xdr:grpSp>
      <xdr:grpSp>
        <xdr:nvGrpSpPr>
          <xdr:cNvPr id="124" name="Group 123">
            <a:extLst>
              <a:ext uri="{FF2B5EF4-FFF2-40B4-BE49-F238E27FC236}">
                <a16:creationId xmlns:a16="http://schemas.microsoft.com/office/drawing/2014/main" id="{AB0C8C8C-44EA-4871-A492-0E4AA251CA3C}"/>
              </a:ext>
            </a:extLst>
          </xdr:cNvPr>
          <xdr:cNvGrpSpPr/>
        </xdr:nvGrpSpPr>
        <xdr:grpSpPr>
          <a:xfrm>
            <a:off x="13947248" y="5666796"/>
            <a:ext cx="4492540" cy="437029"/>
            <a:chOff x="13932749" y="3363281"/>
            <a:chExt cx="4519556" cy="414169"/>
          </a:xfrm>
        </xdr:grpSpPr>
        <xdr:sp macro="" textlink="">
          <xdr:nvSpPr>
            <xdr:cNvPr id="125" name="Rectangle 124">
              <a:extLst>
                <a:ext uri="{FF2B5EF4-FFF2-40B4-BE49-F238E27FC236}">
                  <a16:creationId xmlns:a16="http://schemas.microsoft.com/office/drawing/2014/main" id="{4C39BFB5-C673-6327-2E26-34FF7AB88485}"/>
                </a:ext>
              </a:extLst>
            </xdr:cNvPr>
            <xdr:cNvSpPr/>
          </xdr:nvSpPr>
          <xdr:spPr>
            <a:xfrm>
              <a:off x="13932749" y="3363281"/>
              <a:ext cx="4519556" cy="414169"/>
            </a:xfrm>
            <a:prstGeom prst="rect">
              <a:avLst/>
            </a:prstGeom>
            <a:solidFill>
              <a:srgbClr val="1E293B"/>
            </a:solidFill>
            <a:ln w="9525">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6" name="TextBox 125">
              <a:extLst>
                <a:ext uri="{FF2B5EF4-FFF2-40B4-BE49-F238E27FC236}">
                  <a16:creationId xmlns:a16="http://schemas.microsoft.com/office/drawing/2014/main" id="{5F3EB85A-E8EB-9D21-DE25-8BA25D57B265}"/>
                </a:ext>
              </a:extLst>
            </xdr:cNvPr>
            <xdr:cNvSpPr txBox="1"/>
          </xdr:nvSpPr>
          <xdr:spPr>
            <a:xfrm>
              <a:off x="14076082" y="3409059"/>
              <a:ext cx="4178898" cy="30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E2E8F0"/>
                  </a:solidFill>
                </a:rPr>
                <a:t>🏆 Priya sharma is top performing</a:t>
              </a:r>
              <a:r>
                <a:rPr lang="en-IN" sz="1100" baseline="0">
                  <a:solidFill>
                    <a:srgbClr val="E2E8F0"/>
                  </a:solidFill>
                </a:rPr>
                <a:t> salesman</a:t>
              </a:r>
              <a:endParaRPr lang="en-IN" sz="1100">
                <a:solidFill>
                  <a:srgbClr val="E2E8F0"/>
                </a:solidFill>
              </a:endParaRPr>
            </a:p>
          </xdr:txBody>
        </xdr:sp>
      </xdr:grpSp>
      <xdr:grpSp>
        <xdr:nvGrpSpPr>
          <xdr:cNvPr id="127" name="Group 126">
            <a:extLst>
              <a:ext uri="{FF2B5EF4-FFF2-40B4-BE49-F238E27FC236}">
                <a16:creationId xmlns:a16="http://schemas.microsoft.com/office/drawing/2014/main" id="{992AABEF-5617-42F5-9794-9805EFD89E9A}"/>
              </a:ext>
            </a:extLst>
          </xdr:cNvPr>
          <xdr:cNvGrpSpPr/>
        </xdr:nvGrpSpPr>
        <xdr:grpSpPr>
          <a:xfrm>
            <a:off x="13947248" y="4255747"/>
            <a:ext cx="4492540" cy="427003"/>
            <a:chOff x="13967594" y="3370413"/>
            <a:chExt cx="4519556" cy="414169"/>
          </a:xfrm>
        </xdr:grpSpPr>
        <xdr:sp macro="" textlink="">
          <xdr:nvSpPr>
            <xdr:cNvPr id="128" name="Rectangle 127">
              <a:extLst>
                <a:ext uri="{FF2B5EF4-FFF2-40B4-BE49-F238E27FC236}">
                  <a16:creationId xmlns:a16="http://schemas.microsoft.com/office/drawing/2014/main" id="{524BB33A-D821-9595-D3AB-9EDA833FB41E}"/>
                </a:ext>
              </a:extLst>
            </xdr:cNvPr>
            <xdr:cNvSpPr/>
          </xdr:nvSpPr>
          <xdr:spPr>
            <a:xfrm>
              <a:off x="13967594" y="3370413"/>
              <a:ext cx="4519556" cy="414169"/>
            </a:xfrm>
            <a:prstGeom prst="rect">
              <a:avLst/>
            </a:prstGeom>
            <a:solidFill>
              <a:srgbClr val="1E293B"/>
            </a:solidFill>
            <a:ln w="9525">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9" name="TextBox 128">
              <a:extLst>
                <a:ext uri="{FF2B5EF4-FFF2-40B4-BE49-F238E27FC236}">
                  <a16:creationId xmlns:a16="http://schemas.microsoft.com/office/drawing/2014/main" id="{7AEA49F1-CF47-FC41-DD4C-06DAF182E017}"/>
                </a:ext>
              </a:extLst>
            </xdr:cNvPr>
            <xdr:cNvSpPr txBox="1"/>
          </xdr:nvSpPr>
          <xdr:spPr>
            <a:xfrm>
              <a:off x="14076082" y="3443809"/>
              <a:ext cx="4178898" cy="30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E2E8F0"/>
                  </a:solidFill>
                </a:rPr>
                <a:t>✅ Detergent dominates at 45% category</a:t>
              </a:r>
              <a:r>
                <a:rPr lang="en-IN" sz="1100" baseline="0">
                  <a:solidFill>
                    <a:srgbClr val="E2E8F0"/>
                  </a:solidFill>
                </a:rPr>
                <a:t> share</a:t>
              </a:r>
              <a:endParaRPr lang="en-IN" sz="1100">
                <a:solidFill>
                  <a:srgbClr val="E2E8F0"/>
                </a:solidFill>
              </a:endParaRPr>
            </a:p>
          </xdr:txBody>
        </xdr:sp>
      </xdr:grpSp>
      <xdr:grpSp>
        <xdr:nvGrpSpPr>
          <xdr:cNvPr id="132" name="Group 131">
            <a:extLst>
              <a:ext uri="{FF2B5EF4-FFF2-40B4-BE49-F238E27FC236}">
                <a16:creationId xmlns:a16="http://schemas.microsoft.com/office/drawing/2014/main" id="{DF1FBAD1-E9A4-CA95-5C19-97F236CAEE92}"/>
              </a:ext>
            </a:extLst>
          </xdr:cNvPr>
          <xdr:cNvGrpSpPr/>
        </xdr:nvGrpSpPr>
        <xdr:grpSpPr>
          <a:xfrm>
            <a:off x="13947248" y="4960067"/>
            <a:ext cx="4492540" cy="429409"/>
            <a:chOff x="13944866" y="3375625"/>
            <a:chExt cx="4519556" cy="414169"/>
          </a:xfrm>
        </xdr:grpSpPr>
        <xdr:sp macro="" textlink="">
          <xdr:nvSpPr>
            <xdr:cNvPr id="133" name="Rectangle 132">
              <a:extLst>
                <a:ext uri="{FF2B5EF4-FFF2-40B4-BE49-F238E27FC236}">
                  <a16:creationId xmlns:a16="http://schemas.microsoft.com/office/drawing/2014/main" id="{94371659-B77F-A60C-8437-A95BAFE5B3C0}"/>
                </a:ext>
              </a:extLst>
            </xdr:cNvPr>
            <xdr:cNvSpPr/>
          </xdr:nvSpPr>
          <xdr:spPr>
            <a:xfrm>
              <a:off x="13944866" y="3375625"/>
              <a:ext cx="4519556" cy="414169"/>
            </a:xfrm>
            <a:prstGeom prst="rect">
              <a:avLst/>
            </a:prstGeom>
            <a:solidFill>
              <a:srgbClr val="1E293B"/>
            </a:solidFill>
            <a:ln w="9525">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4" name="TextBox 133">
              <a:extLst>
                <a:ext uri="{FF2B5EF4-FFF2-40B4-BE49-F238E27FC236}">
                  <a16:creationId xmlns:a16="http://schemas.microsoft.com/office/drawing/2014/main" id="{ABCC3089-6BE4-C30E-F5A5-BFEAFF725187}"/>
                </a:ext>
              </a:extLst>
            </xdr:cNvPr>
            <xdr:cNvSpPr txBox="1"/>
          </xdr:nvSpPr>
          <xdr:spPr>
            <a:xfrm>
              <a:off x="14058660" y="3443338"/>
              <a:ext cx="4178898" cy="30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E2E8F0"/>
                  </a:solidFill>
                </a:rPr>
                <a:t>📈 Sales dipped Feb-Mar,</a:t>
              </a:r>
              <a:r>
                <a:rPr lang="en-IN" sz="1100" baseline="0">
                  <a:solidFill>
                    <a:srgbClr val="E2E8F0"/>
                  </a:solidFill>
                </a:rPr>
                <a:t> recoverd by Apr</a:t>
              </a:r>
              <a:endParaRPr lang="en-IN" sz="1100">
                <a:solidFill>
                  <a:srgbClr val="E2E8F0"/>
                </a:solidFill>
              </a:endParaRPr>
            </a:p>
          </xdr:txBody>
        </xdr:sp>
      </xdr:grpSp>
    </xdr:grpSp>
    <xdr:clientData/>
  </xdr:twoCellAnchor>
  <xdr:twoCellAnchor>
    <xdr:from>
      <xdr:col>8</xdr:col>
      <xdr:colOff>444500</xdr:colOff>
      <xdr:row>0</xdr:row>
      <xdr:rowOff>114300</xdr:rowOff>
    </xdr:from>
    <xdr:to>
      <xdr:col>8</xdr:col>
      <xdr:colOff>584200</xdr:colOff>
      <xdr:row>0</xdr:row>
      <xdr:rowOff>241300</xdr:rowOff>
    </xdr:to>
    <xdr:sp macro="" textlink="">
      <xdr:nvSpPr>
        <xdr:cNvPr id="139" name="Flowchart: Connector 138">
          <a:extLst>
            <a:ext uri="{FF2B5EF4-FFF2-40B4-BE49-F238E27FC236}">
              <a16:creationId xmlns:a16="http://schemas.microsoft.com/office/drawing/2014/main" id="{4B787E89-55BA-3E6D-A686-8946A0A4F88A}"/>
            </a:ext>
          </a:extLst>
        </xdr:cNvPr>
        <xdr:cNvSpPr/>
      </xdr:nvSpPr>
      <xdr:spPr>
        <a:xfrm>
          <a:off x="5321300" y="114300"/>
          <a:ext cx="139700" cy="127000"/>
        </a:xfrm>
        <a:prstGeom prst="flowChartConnector">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ahato" refreshedDate="46167.710562037035" createdVersion="8" refreshedVersion="8" minRefreshableVersion="3" recordCount="527" xr:uid="{F161ED4B-AD62-4A3E-9683-9E7199EE7748}">
  <cacheSource type="worksheet">
    <worksheetSource name="Clean_Sales"/>
  </cacheSource>
  <cacheFields count="12">
    <cacheField name="Date" numFmtId="14">
      <sharedItems containsSemiMixedTypes="0" containsNonDate="0" containsDate="1" containsString="0" minDate="2025-01-01T00:00:00" maxDate="2025-06-30T00:00:00" count="17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21T00:00:00"/>
        <d v="2025-02-22T00:00:00"/>
        <d v="2025-02-23T00:00:00"/>
        <d v="2025-02-25T00:00:00"/>
        <d v="2025-02-26T00:00:00"/>
        <d v="2025-02-27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9T00:00:00"/>
        <d v="2025-03-30T00:00:00"/>
        <d v="2025-03-31T00:00:00"/>
        <d v="2025-04-01T00:00:00"/>
        <d v="2025-04-02T00:00:00"/>
        <d v="2025-04-03T00:00:00"/>
        <d v="2025-04-04T00:00:00"/>
        <d v="2025-04-05T00:00:00"/>
        <d v="2025-04-06T00:00:00"/>
        <d v="2025-04-07T00:00:00"/>
        <d v="2025-04-08T00:00:00"/>
        <d v="2025-04-09T00:00:00"/>
        <d v="2025-04-11T00:00:00"/>
        <d v="2025-04-12T00:00:00"/>
        <d v="2025-04-13T00:00:00"/>
        <d v="2025-04-14T00:00:00"/>
        <d v="2025-04-15T00:00:00"/>
        <d v="2025-04-16T00:00:00"/>
        <d v="2025-04-18T00:00:00"/>
        <d v="2025-04-19T00:00:00"/>
        <d v="2025-04-20T00:00:00"/>
        <d v="2025-04-21T00:00:00"/>
        <d v="2025-04-22T00:00:00"/>
        <d v="2025-04-23T00:00:00"/>
        <d v="2025-04-24T00:00:00"/>
        <d v="2025-04-25T00:00:00"/>
        <d v="2025-04-27T00:00:00"/>
        <d v="2025-04-28T00:00:00"/>
        <d v="2025-04-29T00:00:00"/>
        <d v="2025-04-30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2-28T00:00:00"/>
        <d v="2025-02-24T00:00:00"/>
        <d v="2025-04-10T00:00:00"/>
        <d v="2025-03-05T00:00:00"/>
      </sharedItems>
      <fieldGroup par="11"/>
    </cacheField>
    <cacheField name="Salesman_Name" numFmtId="0">
      <sharedItems count="8">
        <s v="Kavita Joshi"/>
        <s v="Suresh Patel"/>
        <s v="Sunita Rao"/>
        <s v="Priya Sharma"/>
        <s v="Deepak Verma"/>
        <s v="Neha Gupta"/>
        <s v="Ravi Kumar"/>
        <s v="Amit Singh"/>
      </sharedItems>
    </cacheField>
    <cacheField name="Region" numFmtId="0">
      <sharedItems count="5">
        <s v="West"/>
        <s v="East"/>
        <s v="North"/>
        <s v="South"/>
        <s v="Central"/>
      </sharedItems>
    </cacheField>
    <cacheField name="Product" numFmtId="0">
      <sharedItems count="14">
        <s v="Lifebuoy"/>
        <s v="Parle-G"/>
        <s v="Colgate"/>
        <s v="Yippee"/>
        <s v="Maggi"/>
        <s v="Amul Butter"/>
        <s v="Ariel"/>
        <s v="Dettol"/>
        <s v="Bisleri"/>
        <s v="Tide"/>
        <s v="Pepsodent"/>
        <s v="Britannia"/>
        <s v="Nestea"/>
        <s v="Surf Excel"/>
      </sharedItems>
    </cacheField>
    <cacheField name="Category" numFmtId="0">
      <sharedItems count="7">
        <s v="Healthcare"/>
        <s v="Biscuits"/>
        <s v="Personal Care"/>
        <s v="Noodles"/>
        <s v="Dairy"/>
        <s v="Detergent"/>
        <s v="Beverages"/>
      </sharedItems>
    </cacheField>
    <cacheField name="Quantity" numFmtId="0">
      <sharedItems containsSemiMixedTypes="0" containsString="0" containsNumber="1" containsInteger="1" minValue="10" maxValue="200"/>
    </cacheField>
    <cacheField name="Unit_Price" numFmtId="0">
      <sharedItems containsSemiMixedTypes="0" containsString="0" containsNumber="1" minValue="9.23" maxValue="140.16"/>
    </cacheField>
    <cacheField name="Total_Sales" numFmtId="0">
      <sharedItems containsSemiMixedTypes="0" containsString="0" containsNumber="1" minValue="146.63999999999999" maxValue="26805.789999999997"/>
    </cacheField>
    <cacheField name="Payment_Mode" numFmtId="0">
      <sharedItems/>
    </cacheField>
    <cacheField name="Status" numFmtId="0">
      <sharedItems/>
    </cacheField>
    <cacheField name="Remarks" numFmtId="0">
      <sharedItems containsBlank="1"/>
    </cacheField>
    <cacheField name="Months (Date)" numFmtId="0" databaseField="0">
      <fieldGroup base="0">
        <rangePr groupBy="months" startDate="2025-01-01T00:00:00" endDate="2025-06-30T00:00:00"/>
        <groupItems count="14">
          <s v="&lt;01-01-2025"/>
          <s v="Jan"/>
          <s v="Feb"/>
          <s v="Mar"/>
          <s v="Apr"/>
          <s v="May"/>
          <s v="Jun"/>
          <s v="Jul"/>
          <s v="Aug"/>
          <s v="Sep"/>
          <s v="Oct"/>
          <s v="Nov"/>
          <s v="Dec"/>
          <s v="&gt;30-06-2025"/>
        </groupItems>
      </fieldGroup>
    </cacheField>
  </cacheFields>
  <extLst>
    <ext xmlns:x14="http://schemas.microsoft.com/office/spreadsheetml/2009/9/main" uri="{725AE2AE-9491-48be-B2B4-4EB974FC3084}">
      <x14:pivotCacheDefinition pivotCacheId="787474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x v="0"/>
    <x v="0"/>
    <x v="0"/>
    <x v="0"/>
    <n v="113"/>
    <n v="47.02"/>
    <n v="5313.26"/>
    <s v="Cash"/>
    <s v="Delivered"/>
    <s v="Urgent Delivery"/>
  </r>
  <r>
    <x v="1"/>
    <x v="1"/>
    <x v="1"/>
    <x v="0"/>
    <x v="0"/>
    <n v="54"/>
    <n v="46.51"/>
    <n v="2511.54"/>
    <s v="Cash"/>
    <s v="Delivered"/>
    <s v="Urgent Delivery"/>
  </r>
  <r>
    <x v="2"/>
    <x v="2"/>
    <x v="1"/>
    <x v="1"/>
    <x v="1"/>
    <n v="88"/>
    <n v="10.33"/>
    <n v="909.04"/>
    <s v="Neft"/>
    <s v="Delivered"/>
    <s v="New Customer"/>
  </r>
  <r>
    <x v="2"/>
    <x v="3"/>
    <x v="0"/>
    <x v="2"/>
    <x v="2"/>
    <n v="44"/>
    <n v="58.07"/>
    <n v="2555.08"/>
    <s v="Cheque"/>
    <s v="Pending"/>
    <m/>
  </r>
  <r>
    <x v="2"/>
    <x v="1"/>
    <x v="2"/>
    <x v="3"/>
    <x v="3"/>
    <n v="144"/>
    <n v="12.08"/>
    <n v="1739.52"/>
    <s v="Cheque"/>
    <s v="Delivered"/>
    <s v="Return Item"/>
  </r>
  <r>
    <x v="3"/>
    <x v="4"/>
    <x v="0"/>
    <x v="2"/>
    <x v="2"/>
    <n v="122"/>
    <n v="59.1"/>
    <n v="7210.2"/>
    <s v="Neft"/>
    <s v="Delivered"/>
    <m/>
  </r>
  <r>
    <x v="3"/>
    <x v="1"/>
    <x v="2"/>
    <x v="4"/>
    <x v="3"/>
    <n v="39"/>
    <n v="13.14"/>
    <n v="512.46"/>
    <s v="Cheque"/>
    <s v="Delivered"/>
    <s v="Urgent Delivery"/>
  </r>
  <r>
    <x v="3"/>
    <x v="5"/>
    <x v="1"/>
    <x v="1"/>
    <x v="1"/>
    <n v="182"/>
    <n v="9.48"/>
    <n v="1725.3600000000001"/>
    <s v="Credit"/>
    <s v="Pending"/>
    <m/>
  </r>
  <r>
    <x v="3"/>
    <x v="2"/>
    <x v="3"/>
    <x v="5"/>
    <x v="4"/>
    <n v="40"/>
    <n v="57.24"/>
    <n v="2289.6"/>
    <s v="Upi"/>
    <s v="Delivered"/>
    <s v="Bulk Order"/>
  </r>
  <r>
    <x v="3"/>
    <x v="3"/>
    <x v="2"/>
    <x v="6"/>
    <x v="5"/>
    <n v="137"/>
    <n v="130.47999999999999"/>
    <n v="17875.759999999998"/>
    <s v="Cash"/>
    <s v="Delivered"/>
    <s v="New Customer"/>
  </r>
  <r>
    <x v="3"/>
    <x v="5"/>
    <x v="4"/>
    <x v="4"/>
    <x v="3"/>
    <n v="14"/>
    <n v="14.28"/>
    <n v="199.92"/>
    <s v="Neft"/>
    <s v="Delivered"/>
    <s v="Follow Up Needed"/>
  </r>
  <r>
    <x v="3"/>
    <x v="3"/>
    <x v="1"/>
    <x v="1"/>
    <x v="1"/>
    <n v="40"/>
    <n v="9.59"/>
    <n v="383.6"/>
    <s v="Credit"/>
    <s v="Pending"/>
    <m/>
  </r>
  <r>
    <x v="3"/>
    <x v="5"/>
    <x v="2"/>
    <x v="3"/>
    <x v="3"/>
    <n v="125"/>
    <n v="11.68"/>
    <n v="1460"/>
    <s v="Neft"/>
    <s v="Cancelled"/>
    <s v="Urgent Delivery"/>
  </r>
  <r>
    <x v="3"/>
    <x v="4"/>
    <x v="1"/>
    <x v="7"/>
    <x v="0"/>
    <n v="88"/>
    <n v="90.09"/>
    <n v="7927.92"/>
    <s v="Upi"/>
    <s v="Pending"/>
    <s v="Urgent Delivery"/>
  </r>
  <r>
    <x v="4"/>
    <x v="0"/>
    <x v="2"/>
    <x v="8"/>
    <x v="6"/>
    <n v="90"/>
    <n v="20.23"/>
    <n v="1820.7"/>
    <s v="Neft"/>
    <s v="Delivered"/>
    <m/>
  </r>
  <r>
    <x v="4"/>
    <x v="0"/>
    <x v="1"/>
    <x v="0"/>
    <x v="0"/>
    <n v="48"/>
    <n v="42.87"/>
    <n v="2057.7599999999998"/>
    <s v="Credit"/>
    <s v="Pending"/>
    <m/>
  </r>
  <r>
    <x v="4"/>
    <x v="3"/>
    <x v="4"/>
    <x v="2"/>
    <x v="2"/>
    <n v="64"/>
    <n v="57.85"/>
    <n v="3702.4"/>
    <s v="Neft"/>
    <s v="Cancelled"/>
    <s v="Return Item"/>
  </r>
  <r>
    <x v="5"/>
    <x v="3"/>
    <x v="4"/>
    <x v="5"/>
    <x v="4"/>
    <n v="46"/>
    <n v="58.05"/>
    <n v="2670.2999999999997"/>
    <s v="Upi"/>
    <s v="Delivered"/>
    <m/>
  </r>
  <r>
    <x v="5"/>
    <x v="5"/>
    <x v="1"/>
    <x v="9"/>
    <x v="5"/>
    <n v="28"/>
    <n v="116.83"/>
    <n v="3271.24"/>
    <s v="Cash"/>
    <s v="Delivered"/>
    <s v="Urgent Delivery"/>
  </r>
  <r>
    <x v="5"/>
    <x v="1"/>
    <x v="2"/>
    <x v="7"/>
    <x v="0"/>
    <n v="183"/>
    <n v="80.91"/>
    <n v="14806.529999999999"/>
    <s v="Neft"/>
    <s v="Delivered"/>
    <s v="Bulk Order"/>
  </r>
  <r>
    <x v="5"/>
    <x v="4"/>
    <x v="4"/>
    <x v="10"/>
    <x v="2"/>
    <n v="152"/>
    <n v="48.55"/>
    <n v="7379.5999999999995"/>
    <s v="Credit"/>
    <s v="Delivered"/>
    <m/>
  </r>
  <r>
    <x v="5"/>
    <x v="5"/>
    <x v="0"/>
    <x v="1"/>
    <x v="1"/>
    <n v="109"/>
    <n v="9.36"/>
    <n v="1020.2399999999999"/>
    <s v="Credit"/>
    <s v="Delivered"/>
    <s v="Bulk Order"/>
  </r>
  <r>
    <x v="5"/>
    <x v="6"/>
    <x v="2"/>
    <x v="7"/>
    <x v="0"/>
    <n v="164"/>
    <n v="79.06"/>
    <n v="12965.84"/>
    <s v="Credit"/>
    <s v="Delivered"/>
    <m/>
  </r>
  <r>
    <x v="6"/>
    <x v="6"/>
    <x v="3"/>
    <x v="2"/>
    <x v="2"/>
    <n v="166"/>
    <n v="51.24"/>
    <n v="8505.84"/>
    <s v="Credit"/>
    <s v="Delivered"/>
    <s v="Return Item"/>
  </r>
  <r>
    <x v="6"/>
    <x v="4"/>
    <x v="4"/>
    <x v="1"/>
    <x v="1"/>
    <n v="166"/>
    <n v="9.57"/>
    <n v="1588.6200000000001"/>
    <s v="Upi"/>
    <s v="Pending"/>
    <s v="Urgent Delivery"/>
  </r>
  <r>
    <x v="6"/>
    <x v="4"/>
    <x v="0"/>
    <x v="9"/>
    <x v="5"/>
    <n v="42"/>
    <n v="116.19"/>
    <n v="4879.9799999999996"/>
    <s v="Neft"/>
    <s v="Delivered"/>
    <m/>
  </r>
  <r>
    <x v="7"/>
    <x v="0"/>
    <x v="1"/>
    <x v="6"/>
    <x v="5"/>
    <n v="134"/>
    <n v="136.19"/>
    <n v="18249.46"/>
    <s v="Cash"/>
    <s v="Delivered"/>
    <m/>
  </r>
  <r>
    <x v="7"/>
    <x v="5"/>
    <x v="0"/>
    <x v="3"/>
    <x v="3"/>
    <n v="144"/>
    <n v="12.41"/>
    <n v="1787.04"/>
    <s v="Upi"/>
    <s v="Pending"/>
    <m/>
  </r>
  <r>
    <x v="7"/>
    <x v="5"/>
    <x v="4"/>
    <x v="1"/>
    <x v="1"/>
    <n v="46"/>
    <n v="9.5"/>
    <n v="437"/>
    <s v="Cash"/>
    <s v="Pending"/>
    <m/>
  </r>
  <r>
    <x v="7"/>
    <x v="5"/>
    <x v="0"/>
    <x v="0"/>
    <x v="0"/>
    <n v="87"/>
    <n v="48.12"/>
    <n v="4186.4399999999996"/>
    <s v="Credit"/>
    <s v="Delivered"/>
    <m/>
  </r>
  <r>
    <x v="8"/>
    <x v="5"/>
    <x v="0"/>
    <x v="3"/>
    <x v="3"/>
    <n v="26"/>
    <n v="12.85"/>
    <n v="334.09999999999997"/>
    <s v="Credit"/>
    <s v="Pending"/>
    <s v="Urgent Delivery"/>
  </r>
  <r>
    <x v="8"/>
    <x v="5"/>
    <x v="2"/>
    <x v="10"/>
    <x v="2"/>
    <n v="70"/>
    <n v="47.89"/>
    <n v="3352.3"/>
    <s v="Cheque"/>
    <s v="Cancelled"/>
    <s v="Urgent Delivery"/>
  </r>
  <r>
    <x v="8"/>
    <x v="6"/>
    <x v="4"/>
    <x v="9"/>
    <x v="5"/>
    <n v="24"/>
    <n v="112.76"/>
    <n v="2706.2400000000002"/>
    <s v="Cheque"/>
    <s v="Delivered"/>
    <m/>
  </r>
  <r>
    <x v="9"/>
    <x v="7"/>
    <x v="3"/>
    <x v="11"/>
    <x v="1"/>
    <n v="185"/>
    <n v="26.99"/>
    <n v="4993.1499999999996"/>
    <s v="Cheque"/>
    <s v="Delivered"/>
    <m/>
  </r>
  <r>
    <x v="9"/>
    <x v="6"/>
    <x v="2"/>
    <x v="12"/>
    <x v="6"/>
    <n v="164"/>
    <n v="30.66"/>
    <n v="5028.24"/>
    <s v="Credit"/>
    <s v="Pending"/>
    <m/>
  </r>
  <r>
    <x v="9"/>
    <x v="5"/>
    <x v="2"/>
    <x v="7"/>
    <x v="0"/>
    <n v="194"/>
    <n v="79.81"/>
    <n v="15483.140000000001"/>
    <s v="Credit"/>
    <s v="Pending"/>
    <s v="Follow Up Needed"/>
  </r>
  <r>
    <x v="10"/>
    <x v="3"/>
    <x v="0"/>
    <x v="10"/>
    <x v="2"/>
    <n v="176"/>
    <n v="46.3"/>
    <n v="8148.7999999999993"/>
    <s v="Upi"/>
    <s v="Pending"/>
    <s v="Return Item"/>
  </r>
  <r>
    <x v="10"/>
    <x v="6"/>
    <x v="2"/>
    <x v="13"/>
    <x v="5"/>
    <n v="174"/>
    <n v="115.48"/>
    <n v="20093.52"/>
    <s v="Upi"/>
    <s v="Cancelled"/>
    <s v="Follow Up Needed"/>
  </r>
  <r>
    <x v="10"/>
    <x v="0"/>
    <x v="4"/>
    <x v="4"/>
    <x v="3"/>
    <n v="118"/>
    <n v="14.74"/>
    <n v="1739.32"/>
    <s v="Cheque"/>
    <s v="Delivered"/>
    <m/>
  </r>
  <r>
    <x v="10"/>
    <x v="0"/>
    <x v="4"/>
    <x v="13"/>
    <x v="5"/>
    <n v="118"/>
    <n v="119.6"/>
    <n v="14112.8"/>
    <s v="Cheque"/>
    <s v="Pending"/>
    <m/>
  </r>
  <r>
    <x v="10"/>
    <x v="5"/>
    <x v="0"/>
    <x v="11"/>
    <x v="1"/>
    <n v="67"/>
    <n v="25.85"/>
    <n v="1731.95"/>
    <s v="Cheque"/>
    <s v="Cancelled"/>
    <m/>
  </r>
  <r>
    <x v="11"/>
    <x v="7"/>
    <x v="1"/>
    <x v="10"/>
    <x v="2"/>
    <n v="154"/>
    <n v="45.54"/>
    <n v="7013.16"/>
    <s v="Cash"/>
    <s v="Delivered"/>
    <s v="Return Item"/>
  </r>
  <r>
    <x v="12"/>
    <x v="6"/>
    <x v="2"/>
    <x v="12"/>
    <x v="6"/>
    <n v="70"/>
    <n v="29.93"/>
    <n v="2095.1"/>
    <s v="Upi"/>
    <s v="Delivered"/>
    <s v="Return Item"/>
  </r>
  <r>
    <x v="13"/>
    <x v="7"/>
    <x v="0"/>
    <x v="4"/>
    <x v="3"/>
    <n v="138"/>
    <n v="14.4"/>
    <n v="1987.2"/>
    <s v="Neft"/>
    <s v="Delivered"/>
    <s v="Return Item"/>
  </r>
  <r>
    <x v="13"/>
    <x v="5"/>
    <x v="4"/>
    <x v="12"/>
    <x v="6"/>
    <n v="12"/>
    <n v="30.06"/>
    <n v="360.71999999999997"/>
    <s v="Upi"/>
    <s v="Pending"/>
    <s v="New Customer"/>
  </r>
  <r>
    <x v="13"/>
    <x v="2"/>
    <x v="2"/>
    <x v="12"/>
    <x v="6"/>
    <n v="48"/>
    <n v="32.25"/>
    <n v="1548"/>
    <s v="Cheque"/>
    <s v="Delivered"/>
    <m/>
  </r>
  <r>
    <x v="13"/>
    <x v="7"/>
    <x v="1"/>
    <x v="7"/>
    <x v="0"/>
    <n v="125"/>
    <n v="85.36"/>
    <n v="10670"/>
    <s v="Cash"/>
    <s v="Cancelled"/>
    <s v="Bulk Order"/>
  </r>
  <r>
    <x v="13"/>
    <x v="4"/>
    <x v="1"/>
    <x v="0"/>
    <x v="0"/>
    <n v="172"/>
    <n v="43.96"/>
    <n v="7561.12"/>
    <s v="Cash"/>
    <s v="Delivered"/>
    <m/>
  </r>
  <r>
    <x v="14"/>
    <x v="1"/>
    <x v="0"/>
    <x v="10"/>
    <x v="2"/>
    <n v="145"/>
    <n v="46.03"/>
    <n v="6674.35"/>
    <s v="Cash"/>
    <s v="Pending"/>
    <m/>
  </r>
  <r>
    <x v="14"/>
    <x v="2"/>
    <x v="4"/>
    <x v="4"/>
    <x v="3"/>
    <n v="15"/>
    <n v="12.88"/>
    <n v="193.20000000000002"/>
    <s v="Cash"/>
    <s v="Delivered"/>
    <s v="Bulk Order"/>
  </r>
  <r>
    <x v="14"/>
    <x v="4"/>
    <x v="0"/>
    <x v="9"/>
    <x v="5"/>
    <n v="149"/>
    <n v="104.58"/>
    <n v="15582.42"/>
    <s v="Cheque"/>
    <s v="Delivered"/>
    <m/>
  </r>
  <r>
    <x v="14"/>
    <x v="7"/>
    <x v="4"/>
    <x v="1"/>
    <x v="1"/>
    <n v="107"/>
    <n v="9.61"/>
    <n v="1028.27"/>
    <s v="Cheque"/>
    <s v="Pending"/>
    <m/>
  </r>
  <r>
    <x v="15"/>
    <x v="3"/>
    <x v="1"/>
    <x v="1"/>
    <x v="1"/>
    <n v="155"/>
    <n v="9.9"/>
    <n v="1534.5"/>
    <s v="Cheque"/>
    <s v="Pending"/>
    <s v="Urgent Delivery"/>
  </r>
  <r>
    <x v="16"/>
    <x v="4"/>
    <x v="4"/>
    <x v="0"/>
    <x v="0"/>
    <n v="44"/>
    <n v="45.17"/>
    <n v="1987.48"/>
    <s v="Cash"/>
    <s v="Delivered"/>
    <s v="Urgent Delivery"/>
  </r>
  <r>
    <x v="16"/>
    <x v="5"/>
    <x v="1"/>
    <x v="11"/>
    <x v="1"/>
    <n v="93"/>
    <n v="24.04"/>
    <n v="2235.7199999999998"/>
    <s v="Cash"/>
    <s v="Delivered"/>
    <m/>
  </r>
  <r>
    <x v="16"/>
    <x v="3"/>
    <x v="0"/>
    <x v="8"/>
    <x v="6"/>
    <n v="167"/>
    <n v="19.440000000000001"/>
    <n v="3246.48"/>
    <s v="Upi"/>
    <s v="Pending"/>
    <s v="Return Item"/>
  </r>
  <r>
    <x v="16"/>
    <x v="5"/>
    <x v="3"/>
    <x v="7"/>
    <x v="0"/>
    <n v="61"/>
    <n v="91.67"/>
    <n v="5591.87"/>
    <s v="Cheque"/>
    <s v="Pending"/>
    <s v="New Customer"/>
  </r>
  <r>
    <x v="17"/>
    <x v="7"/>
    <x v="2"/>
    <x v="9"/>
    <x v="5"/>
    <n v="120"/>
    <n v="114.2"/>
    <n v="13704"/>
    <s v="Cheque"/>
    <s v="Cancelled"/>
    <m/>
  </r>
  <r>
    <x v="17"/>
    <x v="6"/>
    <x v="4"/>
    <x v="11"/>
    <x v="1"/>
    <n v="52"/>
    <n v="25.89"/>
    <n v="1346.28"/>
    <s v="Cash"/>
    <s v="Pending"/>
    <m/>
  </r>
  <r>
    <x v="17"/>
    <x v="3"/>
    <x v="0"/>
    <x v="3"/>
    <x v="3"/>
    <n v="77"/>
    <n v="11.91"/>
    <n v="917.07"/>
    <s v="Neft"/>
    <s v="Delivered"/>
    <s v="Bulk Order"/>
  </r>
  <r>
    <x v="17"/>
    <x v="0"/>
    <x v="1"/>
    <x v="6"/>
    <x v="5"/>
    <n v="13"/>
    <n v="129.83000000000001"/>
    <n v="1687.7900000000002"/>
    <s v="Credit"/>
    <s v="Delivered"/>
    <m/>
  </r>
  <r>
    <x v="18"/>
    <x v="2"/>
    <x v="1"/>
    <x v="12"/>
    <x v="6"/>
    <n v="170"/>
    <n v="31.46"/>
    <n v="5348.2"/>
    <s v="Cash"/>
    <s v="Delivered"/>
    <m/>
  </r>
  <r>
    <x v="18"/>
    <x v="2"/>
    <x v="0"/>
    <x v="9"/>
    <x v="5"/>
    <n v="197"/>
    <n v="103.02"/>
    <n v="20294.939999999999"/>
    <s v="Credit"/>
    <s v="Pending"/>
    <m/>
  </r>
  <r>
    <x v="18"/>
    <x v="0"/>
    <x v="4"/>
    <x v="2"/>
    <x v="2"/>
    <n v="23"/>
    <n v="51.88"/>
    <n v="1193.24"/>
    <s v="Upi"/>
    <s v="Pending"/>
    <m/>
  </r>
  <r>
    <x v="19"/>
    <x v="6"/>
    <x v="0"/>
    <x v="12"/>
    <x v="6"/>
    <n v="120"/>
    <n v="28.12"/>
    <n v="3374.4"/>
    <s v="Cash"/>
    <s v="Delivered"/>
    <m/>
  </r>
  <r>
    <x v="19"/>
    <x v="4"/>
    <x v="4"/>
    <x v="12"/>
    <x v="6"/>
    <n v="86"/>
    <n v="30.19"/>
    <n v="2596.34"/>
    <s v="Credit"/>
    <s v="Cancelled"/>
    <s v="Follow Up Needed"/>
  </r>
  <r>
    <x v="20"/>
    <x v="2"/>
    <x v="2"/>
    <x v="0"/>
    <x v="0"/>
    <n v="81"/>
    <n v="47.41"/>
    <n v="3840.2099999999996"/>
    <s v="Neft"/>
    <s v="Delivered"/>
    <m/>
  </r>
  <r>
    <x v="20"/>
    <x v="6"/>
    <x v="0"/>
    <x v="5"/>
    <x v="4"/>
    <n v="92"/>
    <n v="50.83"/>
    <n v="4676.3599999999997"/>
    <s v="Neft"/>
    <s v="Cancelled"/>
    <s v="New Customer"/>
  </r>
  <r>
    <x v="20"/>
    <x v="6"/>
    <x v="0"/>
    <x v="0"/>
    <x v="0"/>
    <n v="167"/>
    <n v="43.46"/>
    <n v="7257.82"/>
    <s v="Cash"/>
    <s v="Cancelled"/>
    <s v="Urgent Delivery"/>
  </r>
  <r>
    <x v="20"/>
    <x v="0"/>
    <x v="4"/>
    <x v="13"/>
    <x v="5"/>
    <n v="148"/>
    <n v="126.68"/>
    <n v="18748.64"/>
    <s v="Upi"/>
    <s v="Cancelled"/>
    <s v="Follow Up Needed"/>
  </r>
  <r>
    <x v="20"/>
    <x v="3"/>
    <x v="1"/>
    <x v="4"/>
    <x v="3"/>
    <n v="90"/>
    <n v="13.53"/>
    <n v="1217.7"/>
    <s v="Neft"/>
    <s v="Delivered"/>
    <s v="Bulk Order"/>
  </r>
  <r>
    <x v="21"/>
    <x v="0"/>
    <x v="0"/>
    <x v="11"/>
    <x v="1"/>
    <n v="94"/>
    <n v="26.43"/>
    <n v="2484.42"/>
    <s v="Upi"/>
    <s v="Delivered"/>
    <s v="Urgent Delivery"/>
  </r>
  <r>
    <x v="21"/>
    <x v="7"/>
    <x v="4"/>
    <x v="6"/>
    <x v="5"/>
    <n v="173"/>
    <n v="121.16"/>
    <n v="20960.68"/>
    <s v="Cheque"/>
    <s v="Delivered"/>
    <s v="Bulk Order"/>
  </r>
  <r>
    <x v="21"/>
    <x v="5"/>
    <x v="4"/>
    <x v="0"/>
    <x v="0"/>
    <n v="160"/>
    <n v="41.84"/>
    <n v="6694.4000000000005"/>
    <s v="Cheque"/>
    <s v="Cancelled"/>
    <m/>
  </r>
  <r>
    <x v="22"/>
    <x v="6"/>
    <x v="2"/>
    <x v="0"/>
    <x v="0"/>
    <n v="55"/>
    <n v="43.45"/>
    <n v="2389.75"/>
    <s v="Neft"/>
    <s v="Cancelled"/>
    <s v="Urgent Delivery"/>
  </r>
  <r>
    <x v="23"/>
    <x v="6"/>
    <x v="2"/>
    <x v="6"/>
    <x v="5"/>
    <n v="170"/>
    <n v="133.75"/>
    <n v="22737.5"/>
    <s v="Cash"/>
    <s v="Cancelled"/>
    <s v="Follow Up Needed"/>
  </r>
  <r>
    <x v="23"/>
    <x v="2"/>
    <x v="0"/>
    <x v="7"/>
    <x v="0"/>
    <n v="16"/>
    <n v="83.59"/>
    <n v="1337.44"/>
    <s v="Upi"/>
    <s v="Delivered"/>
    <m/>
  </r>
  <r>
    <x v="23"/>
    <x v="3"/>
    <x v="2"/>
    <x v="2"/>
    <x v="2"/>
    <n v="65"/>
    <n v="53.34"/>
    <n v="3467.1000000000004"/>
    <s v="Credit"/>
    <s v="Pending"/>
    <m/>
  </r>
  <r>
    <x v="24"/>
    <x v="6"/>
    <x v="3"/>
    <x v="6"/>
    <x v="5"/>
    <n v="173"/>
    <n v="121.3"/>
    <n v="20984.899999999998"/>
    <s v="Cash"/>
    <s v="Pending"/>
    <s v="New Customer"/>
  </r>
  <r>
    <x v="24"/>
    <x v="7"/>
    <x v="2"/>
    <x v="8"/>
    <x v="6"/>
    <n v="43"/>
    <n v="18.5"/>
    <n v="795.5"/>
    <s v="Neft"/>
    <s v="Delivered"/>
    <s v="Urgent Delivery"/>
  </r>
  <r>
    <x v="24"/>
    <x v="0"/>
    <x v="3"/>
    <x v="3"/>
    <x v="3"/>
    <n v="113"/>
    <n v="11.25"/>
    <n v="1271.25"/>
    <s v="Cash"/>
    <s v="Pending"/>
    <m/>
  </r>
  <r>
    <x v="25"/>
    <x v="5"/>
    <x v="4"/>
    <x v="11"/>
    <x v="1"/>
    <n v="101"/>
    <n v="24.1"/>
    <n v="2434.1000000000004"/>
    <s v="Cash"/>
    <s v="Pending"/>
    <m/>
  </r>
  <r>
    <x v="25"/>
    <x v="3"/>
    <x v="2"/>
    <x v="1"/>
    <x v="1"/>
    <n v="196"/>
    <n v="10.74"/>
    <n v="2105.04"/>
    <s v="Cash"/>
    <s v="Delivered"/>
    <s v="New Customer"/>
  </r>
  <r>
    <x v="25"/>
    <x v="3"/>
    <x v="2"/>
    <x v="8"/>
    <x v="6"/>
    <n v="84"/>
    <n v="20.57"/>
    <n v="1727.88"/>
    <s v="Upi"/>
    <s v="Delivered"/>
    <m/>
  </r>
  <r>
    <x v="25"/>
    <x v="3"/>
    <x v="2"/>
    <x v="4"/>
    <x v="3"/>
    <n v="75"/>
    <n v="14.29"/>
    <n v="1071.75"/>
    <s v="Upi"/>
    <s v="Delivered"/>
    <s v="New Customer"/>
  </r>
  <r>
    <x v="25"/>
    <x v="2"/>
    <x v="4"/>
    <x v="0"/>
    <x v="0"/>
    <n v="58"/>
    <n v="46.13"/>
    <n v="2675.54"/>
    <s v="Neft"/>
    <s v="Cancelled"/>
    <m/>
  </r>
  <r>
    <x v="25"/>
    <x v="1"/>
    <x v="3"/>
    <x v="13"/>
    <x v="5"/>
    <n v="134"/>
    <n v="110.54"/>
    <n v="14812.36"/>
    <s v="Credit"/>
    <s v="Cancelled"/>
    <s v="Urgent Delivery"/>
  </r>
  <r>
    <x v="26"/>
    <x v="3"/>
    <x v="1"/>
    <x v="7"/>
    <x v="0"/>
    <n v="60"/>
    <n v="81.77"/>
    <n v="4906.2"/>
    <s v="Upi"/>
    <s v="Delivered"/>
    <m/>
  </r>
  <r>
    <x v="26"/>
    <x v="1"/>
    <x v="4"/>
    <x v="1"/>
    <x v="1"/>
    <n v="92"/>
    <n v="9.82"/>
    <n v="903.44"/>
    <s v="Cheque"/>
    <s v="Delivered"/>
    <s v="New Customer"/>
  </r>
  <r>
    <x v="27"/>
    <x v="2"/>
    <x v="3"/>
    <x v="4"/>
    <x v="3"/>
    <n v="147"/>
    <n v="13.83"/>
    <n v="2033.01"/>
    <s v="Cash"/>
    <s v="Delivered"/>
    <s v="Follow Up Needed"/>
  </r>
  <r>
    <x v="27"/>
    <x v="2"/>
    <x v="0"/>
    <x v="1"/>
    <x v="1"/>
    <n v="101"/>
    <n v="10.79"/>
    <n v="1089.79"/>
    <s v="Neft"/>
    <s v="Pending"/>
    <m/>
  </r>
  <r>
    <x v="27"/>
    <x v="7"/>
    <x v="4"/>
    <x v="6"/>
    <x v="5"/>
    <n v="71"/>
    <n v="130.55000000000001"/>
    <n v="9269.0500000000011"/>
    <s v="Neft"/>
    <s v="Pending"/>
    <s v="Urgent Delivery"/>
  </r>
  <r>
    <x v="28"/>
    <x v="5"/>
    <x v="1"/>
    <x v="4"/>
    <x v="3"/>
    <n v="24"/>
    <n v="14.15"/>
    <n v="339.6"/>
    <s v="Credit"/>
    <s v="Delivered"/>
    <m/>
  </r>
  <r>
    <x v="28"/>
    <x v="1"/>
    <x v="1"/>
    <x v="2"/>
    <x v="2"/>
    <n v="168"/>
    <n v="53.82"/>
    <n v="9041.76"/>
    <s v="Credit"/>
    <s v="Cancelled"/>
    <s v="Bulk Order"/>
  </r>
  <r>
    <x v="28"/>
    <x v="7"/>
    <x v="4"/>
    <x v="11"/>
    <x v="1"/>
    <n v="158"/>
    <n v="26.73"/>
    <n v="4223.34"/>
    <s v="Upi"/>
    <s v="Delivered"/>
    <s v="Bulk Order"/>
  </r>
  <r>
    <x v="29"/>
    <x v="1"/>
    <x v="4"/>
    <x v="8"/>
    <x v="6"/>
    <n v="10"/>
    <n v="20.14"/>
    <n v="201.4"/>
    <s v="Cash"/>
    <s v="Delivered"/>
    <s v="Urgent Delivery"/>
  </r>
  <r>
    <x v="29"/>
    <x v="3"/>
    <x v="2"/>
    <x v="13"/>
    <x v="5"/>
    <n v="87"/>
    <n v="112.63"/>
    <n v="9798.81"/>
    <s v="Cheque"/>
    <s v="Pending"/>
    <s v="Follow Up Needed"/>
  </r>
  <r>
    <x v="29"/>
    <x v="4"/>
    <x v="4"/>
    <x v="4"/>
    <x v="3"/>
    <n v="119"/>
    <n v="15.06"/>
    <n v="1792.14"/>
    <s v="Cash"/>
    <s v="Cancelled"/>
    <s v="New Customer"/>
  </r>
  <r>
    <x v="29"/>
    <x v="5"/>
    <x v="1"/>
    <x v="0"/>
    <x v="0"/>
    <n v="195"/>
    <n v="48.31"/>
    <n v="9420.4500000000007"/>
    <s v="Cash"/>
    <s v="Delivered"/>
    <s v="Urgent Delivery"/>
  </r>
  <r>
    <x v="30"/>
    <x v="2"/>
    <x v="3"/>
    <x v="12"/>
    <x v="6"/>
    <n v="198"/>
    <n v="29.28"/>
    <n v="5797.4400000000005"/>
    <s v="Cash"/>
    <s v="Delivered"/>
    <m/>
  </r>
  <r>
    <x v="30"/>
    <x v="1"/>
    <x v="0"/>
    <x v="7"/>
    <x v="0"/>
    <n v="106"/>
    <n v="78.69"/>
    <n v="8341.14"/>
    <s v="Credit"/>
    <s v="Delivered"/>
    <s v="Return Item"/>
  </r>
  <r>
    <x v="31"/>
    <x v="3"/>
    <x v="0"/>
    <x v="2"/>
    <x v="2"/>
    <n v="10"/>
    <n v="54.36"/>
    <n v="543.6"/>
    <s v="Cash"/>
    <s v="Delivered"/>
    <s v="New Customer"/>
  </r>
  <r>
    <x v="31"/>
    <x v="6"/>
    <x v="2"/>
    <x v="1"/>
    <x v="1"/>
    <n v="162"/>
    <n v="10.08"/>
    <n v="1632.96"/>
    <s v="Credit"/>
    <s v="Delivered"/>
    <s v="Follow Up Needed"/>
  </r>
  <r>
    <x v="32"/>
    <x v="1"/>
    <x v="4"/>
    <x v="9"/>
    <x v="5"/>
    <n v="200"/>
    <n v="109.09"/>
    <n v="21818"/>
    <s v="Neft"/>
    <s v="Pending"/>
    <m/>
  </r>
  <r>
    <x v="32"/>
    <x v="4"/>
    <x v="4"/>
    <x v="11"/>
    <x v="1"/>
    <n v="159"/>
    <n v="24.3"/>
    <n v="3863.7000000000003"/>
    <s v="Neft"/>
    <s v="Pending"/>
    <m/>
  </r>
  <r>
    <x v="32"/>
    <x v="7"/>
    <x v="3"/>
    <x v="12"/>
    <x v="6"/>
    <n v="175"/>
    <n v="29.44"/>
    <n v="5152"/>
    <s v="Neft"/>
    <s v="Pending"/>
    <m/>
  </r>
  <r>
    <x v="32"/>
    <x v="4"/>
    <x v="2"/>
    <x v="7"/>
    <x v="0"/>
    <n v="150"/>
    <n v="78.209999999999994"/>
    <n v="11731.499999999998"/>
    <s v="Cheque"/>
    <s v="Delivered"/>
    <m/>
  </r>
  <r>
    <x v="33"/>
    <x v="4"/>
    <x v="3"/>
    <x v="12"/>
    <x v="6"/>
    <n v="76"/>
    <n v="29.39"/>
    <n v="2233.64"/>
    <s v="Neft"/>
    <s v="Delivered"/>
    <m/>
  </r>
  <r>
    <x v="33"/>
    <x v="7"/>
    <x v="1"/>
    <x v="5"/>
    <x v="4"/>
    <n v="145"/>
    <n v="52.89"/>
    <n v="7669.05"/>
    <s v="Cheque"/>
    <s v="Pending"/>
    <s v="Bulk Order"/>
  </r>
  <r>
    <x v="34"/>
    <x v="3"/>
    <x v="0"/>
    <x v="1"/>
    <x v="1"/>
    <n v="189"/>
    <n v="10.02"/>
    <n v="1893.78"/>
    <s v="Credit"/>
    <s v="Delivered"/>
    <m/>
  </r>
  <r>
    <x v="34"/>
    <x v="4"/>
    <x v="0"/>
    <x v="12"/>
    <x v="6"/>
    <n v="69"/>
    <n v="28"/>
    <n v="1932"/>
    <s v="Neft"/>
    <s v="Delivered"/>
    <m/>
  </r>
  <r>
    <x v="35"/>
    <x v="2"/>
    <x v="0"/>
    <x v="13"/>
    <x v="5"/>
    <n v="102"/>
    <n v="117.48"/>
    <n v="11982.960000000001"/>
    <s v="Cheque"/>
    <s v="Cancelled"/>
    <s v="Return Item"/>
  </r>
  <r>
    <x v="35"/>
    <x v="0"/>
    <x v="1"/>
    <x v="4"/>
    <x v="3"/>
    <n v="11"/>
    <n v="13.41"/>
    <n v="147.51"/>
    <s v="Upi"/>
    <s v="Delivered"/>
    <s v="New Customer"/>
  </r>
  <r>
    <x v="35"/>
    <x v="0"/>
    <x v="3"/>
    <x v="10"/>
    <x v="2"/>
    <n v="174"/>
    <n v="48.18"/>
    <n v="8383.32"/>
    <s v="Credit"/>
    <s v="Cancelled"/>
    <s v="Return Item"/>
  </r>
  <r>
    <x v="35"/>
    <x v="4"/>
    <x v="1"/>
    <x v="12"/>
    <x v="6"/>
    <n v="134"/>
    <n v="32.020000000000003"/>
    <n v="4290.68"/>
    <s v="Neft"/>
    <s v="Cancelled"/>
    <s v="Follow Up Needed"/>
  </r>
  <r>
    <x v="36"/>
    <x v="5"/>
    <x v="1"/>
    <x v="7"/>
    <x v="0"/>
    <n v="126"/>
    <n v="85.29"/>
    <n v="10746.54"/>
    <s v="Cash"/>
    <s v="Pending"/>
    <m/>
  </r>
  <r>
    <x v="36"/>
    <x v="6"/>
    <x v="0"/>
    <x v="1"/>
    <x v="1"/>
    <n v="179"/>
    <n v="9.61"/>
    <n v="1720.1899999999998"/>
    <s v="Cash"/>
    <s v="Cancelled"/>
    <m/>
  </r>
  <r>
    <x v="37"/>
    <x v="6"/>
    <x v="2"/>
    <x v="12"/>
    <x v="6"/>
    <n v="118"/>
    <n v="31.46"/>
    <n v="3712.28"/>
    <s v="Credit"/>
    <s v="Cancelled"/>
    <s v="Urgent Delivery"/>
  </r>
  <r>
    <x v="37"/>
    <x v="3"/>
    <x v="4"/>
    <x v="3"/>
    <x v="3"/>
    <n v="54"/>
    <n v="12.7"/>
    <n v="685.8"/>
    <s v="Cash"/>
    <s v="Delivered"/>
    <s v="New Customer"/>
  </r>
  <r>
    <x v="37"/>
    <x v="3"/>
    <x v="2"/>
    <x v="3"/>
    <x v="3"/>
    <n v="130"/>
    <n v="11.31"/>
    <n v="1470.3"/>
    <s v="Credit"/>
    <s v="Delivered"/>
    <m/>
  </r>
  <r>
    <x v="37"/>
    <x v="7"/>
    <x v="2"/>
    <x v="1"/>
    <x v="1"/>
    <n v="35"/>
    <n v="10.59"/>
    <n v="370.65"/>
    <s v="Cash"/>
    <s v="Delivered"/>
    <s v="Urgent Delivery"/>
  </r>
  <r>
    <x v="38"/>
    <x v="0"/>
    <x v="2"/>
    <x v="2"/>
    <x v="2"/>
    <n v="123"/>
    <n v="57.61"/>
    <n v="7086.03"/>
    <s v="Upi"/>
    <s v="Delivered"/>
    <m/>
  </r>
  <r>
    <x v="38"/>
    <x v="3"/>
    <x v="2"/>
    <x v="10"/>
    <x v="2"/>
    <n v="192"/>
    <n v="47.38"/>
    <n v="9096.9600000000009"/>
    <s v="Cash"/>
    <s v="Delivered"/>
    <s v="Bulk Order"/>
  </r>
  <r>
    <x v="38"/>
    <x v="3"/>
    <x v="1"/>
    <x v="9"/>
    <x v="5"/>
    <n v="13"/>
    <n v="111.05"/>
    <n v="1443.6499999999999"/>
    <s v="Neft"/>
    <s v="Cancelled"/>
    <s v="New Customer"/>
  </r>
  <r>
    <x v="39"/>
    <x v="4"/>
    <x v="3"/>
    <x v="6"/>
    <x v="5"/>
    <n v="12"/>
    <n v="119.93"/>
    <n v="1439.16"/>
    <s v="Cheque"/>
    <s v="Pending"/>
    <m/>
  </r>
  <r>
    <x v="39"/>
    <x v="0"/>
    <x v="0"/>
    <x v="12"/>
    <x v="6"/>
    <n v="108"/>
    <n v="29.71"/>
    <n v="3208.6800000000003"/>
    <s v="Cash"/>
    <s v="Delivered"/>
    <m/>
  </r>
  <r>
    <x v="40"/>
    <x v="4"/>
    <x v="2"/>
    <x v="1"/>
    <x v="1"/>
    <n v="182"/>
    <n v="9.57"/>
    <n v="1741.74"/>
    <s v="Cheque"/>
    <s v="Cancelled"/>
    <s v="Bulk Order"/>
  </r>
  <r>
    <x v="40"/>
    <x v="3"/>
    <x v="4"/>
    <x v="1"/>
    <x v="1"/>
    <n v="178"/>
    <n v="9.43"/>
    <n v="1678.54"/>
    <s v="Upi"/>
    <s v="Delivered"/>
    <m/>
  </r>
  <r>
    <x v="40"/>
    <x v="0"/>
    <x v="2"/>
    <x v="11"/>
    <x v="1"/>
    <n v="168"/>
    <n v="26.88"/>
    <n v="4515.84"/>
    <s v="Credit"/>
    <s v="Deliverd"/>
    <m/>
  </r>
  <r>
    <x v="41"/>
    <x v="0"/>
    <x v="4"/>
    <x v="5"/>
    <x v="4"/>
    <n v="119"/>
    <n v="51.58"/>
    <n v="6138.0199999999995"/>
    <s v="Credit"/>
    <s v="Delivered"/>
    <s v="Follow Up Needed"/>
  </r>
  <r>
    <x v="41"/>
    <x v="3"/>
    <x v="3"/>
    <x v="1"/>
    <x v="1"/>
    <n v="74"/>
    <n v="9.49"/>
    <n v="702.26"/>
    <s v="Cash"/>
    <s v="Cancelled"/>
    <s v="New Customer"/>
  </r>
  <r>
    <x v="41"/>
    <x v="1"/>
    <x v="2"/>
    <x v="4"/>
    <x v="3"/>
    <n v="21"/>
    <n v="14.21"/>
    <n v="298.41000000000003"/>
    <s v="Neft"/>
    <s v="Cancelled"/>
    <m/>
  </r>
  <r>
    <x v="41"/>
    <x v="7"/>
    <x v="1"/>
    <x v="12"/>
    <x v="6"/>
    <n v="25"/>
    <n v="29.2"/>
    <n v="730"/>
    <s v="Neft"/>
    <s v="Delivered"/>
    <m/>
  </r>
  <r>
    <x v="41"/>
    <x v="4"/>
    <x v="3"/>
    <x v="6"/>
    <x v="5"/>
    <n v="191"/>
    <n v="133.46"/>
    <n v="25490.86"/>
    <s v="Upi"/>
    <s v="Delivered"/>
    <s v="Urgent Delivery"/>
  </r>
  <r>
    <x v="41"/>
    <x v="1"/>
    <x v="0"/>
    <x v="6"/>
    <x v="5"/>
    <n v="160"/>
    <n v="122.59"/>
    <n v="19614.400000000001"/>
    <s v="Cash"/>
    <s v="Cancelled"/>
    <s v="Return Item"/>
  </r>
  <r>
    <x v="42"/>
    <x v="4"/>
    <x v="2"/>
    <x v="13"/>
    <x v="5"/>
    <n v="93"/>
    <n v="116.03"/>
    <n v="10790.79"/>
    <s v="Credit"/>
    <s v="Cancelled"/>
    <m/>
  </r>
  <r>
    <x v="42"/>
    <x v="5"/>
    <x v="4"/>
    <x v="2"/>
    <x v="2"/>
    <n v="39"/>
    <n v="56.91"/>
    <n v="2219.4899999999998"/>
    <s v="Cheque"/>
    <s v="Pending"/>
    <s v="Follow Up Needed"/>
  </r>
  <r>
    <x v="42"/>
    <x v="0"/>
    <x v="1"/>
    <x v="6"/>
    <x v="5"/>
    <n v="57"/>
    <n v="128.97999999999999"/>
    <n v="7351.86"/>
    <s v="Neft"/>
    <s v="Delivered"/>
    <s v="Return Item"/>
  </r>
  <r>
    <x v="42"/>
    <x v="2"/>
    <x v="3"/>
    <x v="6"/>
    <x v="5"/>
    <n v="20"/>
    <n v="140.16"/>
    <n v="2803.2"/>
    <s v="Cash"/>
    <s v="Delivered"/>
    <m/>
  </r>
  <r>
    <x v="42"/>
    <x v="6"/>
    <x v="4"/>
    <x v="5"/>
    <x v="4"/>
    <n v="87"/>
    <n v="55.56"/>
    <n v="4833.72"/>
    <s v="Neft"/>
    <s v="Delivered"/>
    <s v="New Customer"/>
  </r>
  <r>
    <x v="42"/>
    <x v="0"/>
    <x v="0"/>
    <x v="2"/>
    <x v="2"/>
    <n v="87"/>
    <n v="58.94"/>
    <n v="5127.78"/>
    <s v="Cash"/>
    <s v="Pending"/>
    <s v="Return Item"/>
  </r>
  <r>
    <x v="43"/>
    <x v="3"/>
    <x v="0"/>
    <x v="12"/>
    <x v="6"/>
    <n v="32"/>
    <n v="29.68"/>
    <n v="949.76"/>
    <s v="Upi"/>
    <s v="Pending"/>
    <m/>
  </r>
  <r>
    <x v="44"/>
    <x v="7"/>
    <x v="4"/>
    <x v="8"/>
    <x v="6"/>
    <n v="107"/>
    <n v="19.170000000000002"/>
    <n v="2051.19"/>
    <s v="Cheque"/>
    <s v="Pending"/>
    <m/>
  </r>
  <r>
    <x v="44"/>
    <x v="1"/>
    <x v="3"/>
    <x v="13"/>
    <x v="5"/>
    <n v="111"/>
    <n v="113.98"/>
    <n v="12651.78"/>
    <s v="Upi"/>
    <s v="Delivered"/>
    <m/>
  </r>
  <r>
    <x v="44"/>
    <x v="3"/>
    <x v="0"/>
    <x v="7"/>
    <x v="0"/>
    <n v="54"/>
    <n v="87.73"/>
    <n v="4737.42"/>
    <s v="Neft"/>
    <s v="Delivered"/>
    <m/>
  </r>
  <r>
    <x v="44"/>
    <x v="4"/>
    <x v="2"/>
    <x v="5"/>
    <x v="4"/>
    <n v="40"/>
    <n v="58.14"/>
    <n v="2325.6"/>
    <s v="Cash"/>
    <s v="Delivered"/>
    <s v="Return Item"/>
  </r>
  <r>
    <x v="45"/>
    <x v="7"/>
    <x v="1"/>
    <x v="8"/>
    <x v="6"/>
    <n v="173"/>
    <n v="19.04"/>
    <n v="3293.92"/>
    <s v="Cash"/>
    <s v="Cancelled"/>
    <s v="Urgent Delivery"/>
  </r>
  <r>
    <x v="45"/>
    <x v="7"/>
    <x v="3"/>
    <x v="6"/>
    <x v="5"/>
    <n v="198"/>
    <n v="127.45"/>
    <n v="25235.100000000002"/>
    <s v="Upi"/>
    <s v="Delivered"/>
    <m/>
  </r>
  <r>
    <x v="45"/>
    <x v="6"/>
    <x v="0"/>
    <x v="3"/>
    <x v="3"/>
    <n v="89"/>
    <n v="12.89"/>
    <n v="1147.21"/>
    <s v="Cash"/>
    <s v="Delivered"/>
    <s v="New Customer"/>
  </r>
  <r>
    <x v="45"/>
    <x v="0"/>
    <x v="3"/>
    <x v="13"/>
    <x v="5"/>
    <n v="40"/>
    <n v="119.87"/>
    <n v="4794.8"/>
    <s v="Cheque"/>
    <s v="Delivered"/>
    <s v="New Customer"/>
  </r>
  <r>
    <x v="46"/>
    <x v="3"/>
    <x v="0"/>
    <x v="10"/>
    <x v="2"/>
    <n v="24"/>
    <n v="48.14"/>
    <n v="1155.3600000000001"/>
    <s v="Cash"/>
    <s v="Delivered"/>
    <s v="New Customer"/>
  </r>
  <r>
    <x v="47"/>
    <x v="3"/>
    <x v="1"/>
    <x v="1"/>
    <x v="1"/>
    <n v="193"/>
    <n v="10.26"/>
    <n v="1980.18"/>
    <s v="Neft"/>
    <s v="Delivered"/>
    <m/>
  </r>
  <r>
    <x v="47"/>
    <x v="1"/>
    <x v="0"/>
    <x v="2"/>
    <x v="2"/>
    <n v="45"/>
    <n v="52.59"/>
    <n v="2366.5500000000002"/>
    <s v="Credit"/>
    <s v="Delivered"/>
    <m/>
  </r>
  <r>
    <x v="48"/>
    <x v="7"/>
    <x v="2"/>
    <x v="11"/>
    <x v="1"/>
    <n v="120"/>
    <n v="24.64"/>
    <n v="2956.8"/>
    <s v="Upi"/>
    <s v="Cancell"/>
    <s v="Return Item"/>
  </r>
  <r>
    <x v="48"/>
    <x v="3"/>
    <x v="2"/>
    <x v="4"/>
    <x v="3"/>
    <n v="16"/>
    <n v="14.21"/>
    <n v="227.36"/>
    <s v="Cash"/>
    <s v="Pending"/>
    <s v="Urgent Delivery"/>
  </r>
  <r>
    <x v="48"/>
    <x v="0"/>
    <x v="2"/>
    <x v="9"/>
    <x v="5"/>
    <n v="110"/>
    <n v="106.28"/>
    <n v="11690.8"/>
    <s v="Credit"/>
    <s v="Delivered"/>
    <m/>
  </r>
  <r>
    <x v="49"/>
    <x v="6"/>
    <x v="4"/>
    <x v="6"/>
    <x v="5"/>
    <n v="71"/>
    <n v="133.52000000000001"/>
    <n v="9479.92"/>
    <s v="Credit"/>
    <s v="Delivered"/>
    <m/>
  </r>
  <r>
    <x v="49"/>
    <x v="4"/>
    <x v="3"/>
    <x v="13"/>
    <x v="5"/>
    <n v="163"/>
    <n v="123.81"/>
    <n v="20181.03"/>
    <s v="Cash"/>
    <s v="Delivered"/>
    <m/>
  </r>
  <r>
    <x v="49"/>
    <x v="1"/>
    <x v="1"/>
    <x v="12"/>
    <x v="6"/>
    <n v="198"/>
    <n v="29.16"/>
    <n v="5773.68"/>
    <s v="Cash"/>
    <s v="Delivered"/>
    <m/>
  </r>
  <r>
    <x v="49"/>
    <x v="0"/>
    <x v="0"/>
    <x v="0"/>
    <x v="0"/>
    <n v="131"/>
    <n v="45.72"/>
    <n v="5989.32"/>
    <s v="Cash"/>
    <s v="Delivered"/>
    <s v="Return Item"/>
  </r>
  <r>
    <x v="50"/>
    <x v="4"/>
    <x v="4"/>
    <x v="2"/>
    <x v="2"/>
    <n v="74"/>
    <n v="58.05"/>
    <n v="4295.7"/>
    <s v="Upi"/>
    <s v="Delivered"/>
    <m/>
  </r>
  <r>
    <x v="50"/>
    <x v="4"/>
    <x v="4"/>
    <x v="6"/>
    <x v="5"/>
    <n v="83"/>
    <n v="134.12"/>
    <n v="11131.960000000001"/>
    <s v="Neft"/>
    <s v="Cancelled"/>
    <s v="New Customer"/>
  </r>
  <r>
    <x v="50"/>
    <x v="2"/>
    <x v="0"/>
    <x v="2"/>
    <x v="2"/>
    <n v="25"/>
    <n v="51.85"/>
    <n v="1296.25"/>
    <s v="Cheque"/>
    <s v="Delivered"/>
    <s v="Bulk Order"/>
  </r>
  <r>
    <x v="50"/>
    <x v="3"/>
    <x v="1"/>
    <x v="10"/>
    <x v="2"/>
    <n v="125"/>
    <n v="51.36"/>
    <n v="6420"/>
    <s v="Upi"/>
    <s v="Delivered"/>
    <m/>
  </r>
  <r>
    <x v="51"/>
    <x v="4"/>
    <x v="1"/>
    <x v="11"/>
    <x v="1"/>
    <n v="43"/>
    <n v="25.6"/>
    <n v="1100.8"/>
    <s v="Cheque"/>
    <s v="Delivered"/>
    <s v="Follow Up Needed"/>
  </r>
  <r>
    <x v="52"/>
    <x v="2"/>
    <x v="4"/>
    <x v="1"/>
    <x v="1"/>
    <n v="16"/>
    <n v="10.35"/>
    <n v="165.6"/>
    <s v="Credit"/>
    <s v="Pending"/>
    <m/>
  </r>
  <r>
    <x v="52"/>
    <x v="1"/>
    <x v="0"/>
    <x v="4"/>
    <x v="3"/>
    <n v="115"/>
    <n v="13.9"/>
    <n v="1598.5"/>
    <s v="Cheque"/>
    <s v="Pending"/>
    <m/>
  </r>
  <r>
    <x v="52"/>
    <x v="3"/>
    <x v="4"/>
    <x v="12"/>
    <x v="6"/>
    <n v="172"/>
    <n v="31.23"/>
    <n v="5371.56"/>
    <s v="Credit"/>
    <s v="Delivered"/>
    <m/>
  </r>
  <r>
    <x v="52"/>
    <x v="3"/>
    <x v="1"/>
    <x v="3"/>
    <x v="3"/>
    <n v="71"/>
    <n v="11.21"/>
    <n v="795.91000000000008"/>
    <s v="Cheque"/>
    <s v="Pending"/>
    <m/>
  </r>
  <r>
    <x v="53"/>
    <x v="0"/>
    <x v="1"/>
    <x v="10"/>
    <x v="2"/>
    <n v="86"/>
    <n v="50.62"/>
    <n v="4353.32"/>
    <s v="Credit"/>
    <s v="Delivered"/>
    <s v="Follow Up Needed"/>
  </r>
  <r>
    <x v="53"/>
    <x v="3"/>
    <x v="0"/>
    <x v="12"/>
    <x v="6"/>
    <n v="149"/>
    <n v="30.64"/>
    <n v="4565.3599999999997"/>
    <s v="Credit"/>
    <s v="Delivered"/>
    <s v="Follow Up Needed"/>
  </r>
  <r>
    <x v="53"/>
    <x v="1"/>
    <x v="1"/>
    <x v="8"/>
    <x v="6"/>
    <n v="102"/>
    <n v="20.75"/>
    <n v="2116.5"/>
    <s v="Credit"/>
    <s v="Delivered"/>
    <m/>
  </r>
  <r>
    <x v="54"/>
    <x v="4"/>
    <x v="3"/>
    <x v="12"/>
    <x v="6"/>
    <n v="127"/>
    <n v="31.31"/>
    <n v="3976.37"/>
    <s v="Neft"/>
    <s v="Cancelled"/>
    <s v="Bulk Order"/>
  </r>
  <r>
    <x v="55"/>
    <x v="1"/>
    <x v="3"/>
    <x v="5"/>
    <x v="4"/>
    <n v="64"/>
    <n v="54.19"/>
    <n v="3468.16"/>
    <s v="Neft"/>
    <s v="Delivered"/>
    <m/>
  </r>
  <r>
    <x v="56"/>
    <x v="7"/>
    <x v="0"/>
    <x v="2"/>
    <x v="2"/>
    <n v="156"/>
    <n v="58.14"/>
    <n v="9069.84"/>
    <s v="Cheque"/>
    <s v="Pending"/>
    <s v="Return Item"/>
  </r>
  <r>
    <x v="56"/>
    <x v="5"/>
    <x v="0"/>
    <x v="8"/>
    <x v="6"/>
    <n v="87"/>
    <n v="19.37"/>
    <n v="1685.19"/>
    <s v="Cheque"/>
    <s v="Delivered"/>
    <m/>
  </r>
  <r>
    <x v="57"/>
    <x v="1"/>
    <x v="0"/>
    <x v="10"/>
    <x v="2"/>
    <n v="71"/>
    <n v="49.12"/>
    <n v="3487.52"/>
    <s v="Upi"/>
    <s v="Delivered"/>
    <m/>
  </r>
  <r>
    <x v="57"/>
    <x v="5"/>
    <x v="2"/>
    <x v="11"/>
    <x v="1"/>
    <n v="147"/>
    <n v="23.76"/>
    <n v="3492.7200000000003"/>
    <s v="Cash"/>
    <s v="Delivered"/>
    <s v="Bulk Order"/>
  </r>
  <r>
    <x v="58"/>
    <x v="0"/>
    <x v="4"/>
    <x v="6"/>
    <x v="5"/>
    <n v="108"/>
    <n v="132.07"/>
    <n v="14263.56"/>
    <s v="Upi"/>
    <s v="Delivered"/>
    <s v="Return Item"/>
  </r>
  <r>
    <x v="58"/>
    <x v="2"/>
    <x v="1"/>
    <x v="11"/>
    <x v="1"/>
    <n v="30"/>
    <n v="26.43"/>
    <n v="792.9"/>
    <s v="Credit"/>
    <s v="Pending"/>
    <m/>
  </r>
  <r>
    <x v="58"/>
    <x v="3"/>
    <x v="2"/>
    <x v="0"/>
    <x v="0"/>
    <n v="16"/>
    <n v="43.89"/>
    <n v="702.24"/>
    <s v="Cash"/>
    <s v="Delivered"/>
    <s v="New Customer"/>
  </r>
  <r>
    <x v="58"/>
    <x v="3"/>
    <x v="2"/>
    <x v="3"/>
    <x v="3"/>
    <n v="166"/>
    <n v="12.08"/>
    <n v="2005.28"/>
    <s v="Cheque"/>
    <s v="Cancell"/>
    <m/>
  </r>
  <r>
    <x v="59"/>
    <x v="2"/>
    <x v="4"/>
    <x v="3"/>
    <x v="3"/>
    <n v="42"/>
    <n v="12.22"/>
    <n v="513.24"/>
    <s v="Neft"/>
    <s v="Cancelled"/>
    <s v="Bulk Order"/>
  </r>
  <r>
    <x v="59"/>
    <x v="7"/>
    <x v="3"/>
    <x v="5"/>
    <x v="4"/>
    <n v="158"/>
    <n v="53.51"/>
    <n v="8454.58"/>
    <s v="Upi"/>
    <s v="Delivered"/>
    <m/>
  </r>
  <r>
    <x v="59"/>
    <x v="5"/>
    <x v="4"/>
    <x v="12"/>
    <x v="6"/>
    <n v="126"/>
    <n v="31.15"/>
    <n v="3924.8999999999996"/>
    <s v="Cheque"/>
    <s v="Delivered"/>
    <m/>
  </r>
  <r>
    <x v="59"/>
    <x v="1"/>
    <x v="1"/>
    <x v="0"/>
    <x v="0"/>
    <n v="181"/>
    <n v="48.37"/>
    <n v="8754.9699999999993"/>
    <s v="Cheque"/>
    <s v="Delivered"/>
    <s v="Bulk Order"/>
  </r>
  <r>
    <x v="60"/>
    <x v="4"/>
    <x v="2"/>
    <x v="1"/>
    <x v="1"/>
    <n v="112"/>
    <n v="9.5500000000000007"/>
    <n v="1069.6000000000001"/>
    <s v="Neft"/>
    <s v="Pending"/>
    <m/>
  </r>
  <r>
    <x v="61"/>
    <x v="5"/>
    <x v="0"/>
    <x v="6"/>
    <x v="5"/>
    <n v="189"/>
    <n v="126.47"/>
    <n v="23902.829999999998"/>
    <s v="Cheque"/>
    <s v="Pending"/>
    <s v="Bulk Order"/>
  </r>
  <r>
    <x v="62"/>
    <x v="3"/>
    <x v="3"/>
    <x v="5"/>
    <x v="4"/>
    <n v="153"/>
    <n v="57.17"/>
    <n v="8747.01"/>
    <s v="Cheque"/>
    <s v="Delivered"/>
    <s v="Follow Up Needed"/>
  </r>
  <r>
    <x v="62"/>
    <x v="1"/>
    <x v="3"/>
    <x v="11"/>
    <x v="1"/>
    <n v="175"/>
    <n v="24.26"/>
    <n v="4245.5"/>
    <s v="Cash"/>
    <s v="Pending"/>
    <m/>
  </r>
  <r>
    <x v="62"/>
    <x v="2"/>
    <x v="1"/>
    <x v="2"/>
    <x v="2"/>
    <n v="166"/>
    <n v="52.22"/>
    <n v="8668.52"/>
    <s v="Credit"/>
    <s v="Delivered"/>
    <s v="Urgent Delivery"/>
  </r>
  <r>
    <x v="62"/>
    <x v="2"/>
    <x v="4"/>
    <x v="2"/>
    <x v="2"/>
    <n v="73"/>
    <n v="56.62"/>
    <n v="4133.26"/>
    <s v="Credit"/>
    <s v="Delivered"/>
    <s v="Return Item"/>
  </r>
  <r>
    <x v="63"/>
    <x v="3"/>
    <x v="2"/>
    <x v="0"/>
    <x v="0"/>
    <n v="19"/>
    <n v="43"/>
    <n v="817"/>
    <s v="Cash"/>
    <s v="Delivered"/>
    <m/>
  </r>
  <r>
    <x v="63"/>
    <x v="1"/>
    <x v="4"/>
    <x v="1"/>
    <x v="1"/>
    <n v="20"/>
    <n v="9.5"/>
    <n v="190"/>
    <s v="Upi"/>
    <s v="Cancelled"/>
    <s v="Bulk Order"/>
  </r>
  <r>
    <x v="63"/>
    <x v="3"/>
    <x v="0"/>
    <x v="5"/>
    <x v="4"/>
    <n v="172"/>
    <n v="54.03"/>
    <n v="9293.16"/>
    <s v="Credit"/>
    <s v="Delivered"/>
    <m/>
  </r>
  <r>
    <x v="63"/>
    <x v="5"/>
    <x v="1"/>
    <x v="7"/>
    <x v="0"/>
    <n v="150"/>
    <n v="85.9"/>
    <n v="12885"/>
    <s v="Cash"/>
    <s v="Delivered"/>
    <s v="Urgent Delivery"/>
  </r>
  <r>
    <x v="63"/>
    <x v="1"/>
    <x v="4"/>
    <x v="11"/>
    <x v="1"/>
    <n v="32"/>
    <n v="23.85"/>
    <n v="763.2"/>
    <s v="Credit"/>
    <s v="Cancelled"/>
    <s v="Follow Up Needed"/>
  </r>
  <r>
    <x v="64"/>
    <x v="1"/>
    <x v="0"/>
    <x v="13"/>
    <x v="5"/>
    <n v="109"/>
    <n v="123.44"/>
    <n v="13454.96"/>
    <s v="Cash"/>
    <s v="Pending"/>
    <s v="Follow Up Needed"/>
  </r>
  <r>
    <x v="64"/>
    <x v="4"/>
    <x v="2"/>
    <x v="3"/>
    <x v="3"/>
    <n v="177"/>
    <n v="11.93"/>
    <n v="2111.61"/>
    <s v="Upi"/>
    <s v="Cancelled"/>
    <m/>
  </r>
  <r>
    <x v="64"/>
    <x v="2"/>
    <x v="1"/>
    <x v="6"/>
    <x v="5"/>
    <n v="18"/>
    <n v="120.84"/>
    <n v="2175.12"/>
    <s v="Upi"/>
    <s v="Pending"/>
    <m/>
  </r>
  <r>
    <x v="65"/>
    <x v="7"/>
    <x v="0"/>
    <x v="2"/>
    <x v="2"/>
    <n v="198"/>
    <n v="58"/>
    <n v="11484"/>
    <s v="Cash"/>
    <s v="Delivered"/>
    <s v="Follow Up Needed"/>
  </r>
  <r>
    <x v="66"/>
    <x v="1"/>
    <x v="1"/>
    <x v="9"/>
    <x v="5"/>
    <n v="154"/>
    <n v="118.75"/>
    <n v="18287.5"/>
    <s v="Cheque"/>
    <s v="Delivered"/>
    <m/>
  </r>
  <r>
    <x v="66"/>
    <x v="2"/>
    <x v="3"/>
    <x v="7"/>
    <x v="0"/>
    <n v="110"/>
    <n v="79.39"/>
    <n v="8732.9"/>
    <s v="Credit"/>
    <s v="Cancelled"/>
    <s v="Return Item"/>
  </r>
  <r>
    <x v="66"/>
    <x v="6"/>
    <x v="0"/>
    <x v="5"/>
    <x v="4"/>
    <n v="73"/>
    <n v="54.42"/>
    <n v="3972.6600000000003"/>
    <s v="Cash"/>
    <s v="Delivered"/>
    <s v="Return Item"/>
  </r>
  <r>
    <x v="67"/>
    <x v="0"/>
    <x v="4"/>
    <x v="10"/>
    <x v="2"/>
    <n v="136"/>
    <n v="45.19"/>
    <n v="6145.84"/>
    <s v="Credit"/>
    <s v="Delivered"/>
    <s v="New Customer"/>
  </r>
  <r>
    <x v="67"/>
    <x v="3"/>
    <x v="4"/>
    <x v="13"/>
    <x v="5"/>
    <n v="195"/>
    <n v="114.51"/>
    <n v="22329.45"/>
    <s v="Credit"/>
    <s v="Delivered"/>
    <m/>
  </r>
  <r>
    <x v="67"/>
    <x v="4"/>
    <x v="4"/>
    <x v="8"/>
    <x v="6"/>
    <n v="77"/>
    <n v="19.79"/>
    <n v="1523.83"/>
    <s v="Cash"/>
    <s v="Pending"/>
    <s v="Urgent Delivery"/>
  </r>
  <r>
    <x v="68"/>
    <x v="3"/>
    <x v="2"/>
    <x v="2"/>
    <x v="2"/>
    <n v="98"/>
    <n v="53.23"/>
    <n v="5216.54"/>
    <s v="Cheque"/>
    <s v="Pending"/>
    <s v="Return Item"/>
  </r>
  <r>
    <x v="68"/>
    <x v="7"/>
    <x v="2"/>
    <x v="1"/>
    <x v="1"/>
    <n v="162"/>
    <n v="9.94"/>
    <n v="1610.28"/>
    <s v="Upi"/>
    <s v="Delivered"/>
    <m/>
  </r>
  <r>
    <x v="68"/>
    <x v="7"/>
    <x v="0"/>
    <x v="10"/>
    <x v="2"/>
    <n v="125"/>
    <n v="46.31"/>
    <n v="5788.75"/>
    <s v="Upi"/>
    <s v="Delivered"/>
    <s v="Bulk Order"/>
  </r>
  <r>
    <x v="68"/>
    <x v="0"/>
    <x v="4"/>
    <x v="13"/>
    <x v="5"/>
    <n v="186"/>
    <n v="128.58000000000001"/>
    <n v="23915.88"/>
    <s v="Neft"/>
    <s v="Pending"/>
    <m/>
  </r>
  <r>
    <x v="69"/>
    <x v="1"/>
    <x v="0"/>
    <x v="12"/>
    <x v="6"/>
    <n v="31"/>
    <n v="30.29"/>
    <n v="938.99"/>
    <s v="Upi"/>
    <s v="Cancelled"/>
    <m/>
  </r>
  <r>
    <x v="69"/>
    <x v="7"/>
    <x v="0"/>
    <x v="11"/>
    <x v="1"/>
    <n v="137"/>
    <n v="24.21"/>
    <n v="3316.77"/>
    <s v="Neft"/>
    <s v="Pending"/>
    <s v="Urgent Delivery"/>
  </r>
  <r>
    <x v="70"/>
    <x v="5"/>
    <x v="2"/>
    <x v="12"/>
    <x v="6"/>
    <n v="141"/>
    <n v="31.81"/>
    <n v="4485.21"/>
    <s v="Upi"/>
    <s v="Pending"/>
    <m/>
  </r>
  <r>
    <x v="71"/>
    <x v="0"/>
    <x v="2"/>
    <x v="7"/>
    <x v="0"/>
    <n v="94"/>
    <n v="91.53"/>
    <n v="8603.82"/>
    <s v="Cash"/>
    <s v="Delivered"/>
    <m/>
  </r>
  <r>
    <x v="71"/>
    <x v="0"/>
    <x v="4"/>
    <x v="0"/>
    <x v="0"/>
    <n v="146"/>
    <n v="43.05"/>
    <n v="6285.2999999999993"/>
    <s v="Cash"/>
    <s v="Delivered"/>
    <m/>
  </r>
  <r>
    <x v="71"/>
    <x v="3"/>
    <x v="4"/>
    <x v="4"/>
    <x v="3"/>
    <n v="155"/>
    <n v="13.75"/>
    <n v="2131.25"/>
    <s v="Neft"/>
    <s v="Delivered"/>
    <m/>
  </r>
  <r>
    <x v="71"/>
    <x v="2"/>
    <x v="2"/>
    <x v="13"/>
    <x v="5"/>
    <n v="110"/>
    <n v="126.53"/>
    <n v="13918.3"/>
    <s v="Credit"/>
    <s v="Pending"/>
    <s v="Urgent Delivery"/>
  </r>
  <r>
    <x v="72"/>
    <x v="0"/>
    <x v="2"/>
    <x v="13"/>
    <x v="5"/>
    <n v="132"/>
    <n v="118.58"/>
    <n v="15652.56"/>
    <s v="Cash"/>
    <s v="Pending"/>
    <m/>
  </r>
  <r>
    <x v="72"/>
    <x v="3"/>
    <x v="4"/>
    <x v="4"/>
    <x v="3"/>
    <n v="115"/>
    <n v="13.02"/>
    <n v="1497.3"/>
    <s v="Cash"/>
    <s v="Delivered"/>
    <s v="Urgent Delivery"/>
  </r>
  <r>
    <x v="72"/>
    <x v="4"/>
    <x v="0"/>
    <x v="6"/>
    <x v="5"/>
    <n v="26"/>
    <n v="125.34"/>
    <n v="3258.84"/>
    <s v="Neft"/>
    <s v="Delivered"/>
    <s v="Urgent Delivery"/>
  </r>
  <r>
    <x v="72"/>
    <x v="5"/>
    <x v="3"/>
    <x v="6"/>
    <x v="5"/>
    <n v="197"/>
    <n v="136.07"/>
    <n v="26805.789999999997"/>
    <s v="Credit"/>
    <s v="Delivered"/>
    <s v="Bulk Order"/>
  </r>
  <r>
    <x v="72"/>
    <x v="6"/>
    <x v="2"/>
    <x v="12"/>
    <x v="6"/>
    <n v="41"/>
    <n v="28.59"/>
    <n v="1172.19"/>
    <s v="Neft"/>
    <s v="Delivered"/>
    <s v="New Customer"/>
  </r>
  <r>
    <x v="73"/>
    <x v="3"/>
    <x v="2"/>
    <x v="8"/>
    <x v="6"/>
    <n v="21"/>
    <n v="19.329999999999998"/>
    <n v="405.92999999999995"/>
    <s v="Upi"/>
    <s v="Delivered"/>
    <m/>
  </r>
  <r>
    <x v="73"/>
    <x v="7"/>
    <x v="1"/>
    <x v="6"/>
    <x v="5"/>
    <n v="15"/>
    <n v="120.38"/>
    <n v="1805.6999999999998"/>
    <s v="Neft"/>
    <s v="Cancelled"/>
    <s v="Urgent Delivery"/>
  </r>
  <r>
    <x v="74"/>
    <x v="7"/>
    <x v="4"/>
    <x v="13"/>
    <x v="5"/>
    <n v="89"/>
    <n v="127.83"/>
    <n v="11376.869999999999"/>
    <s v="Cash"/>
    <s v="Delivered"/>
    <m/>
  </r>
  <r>
    <x v="74"/>
    <x v="1"/>
    <x v="0"/>
    <x v="12"/>
    <x v="6"/>
    <n v="38"/>
    <n v="29.95"/>
    <n v="1138.0999999999999"/>
    <s v="Cash"/>
    <s v="Pending"/>
    <s v="Follow Up Needed"/>
  </r>
  <r>
    <x v="75"/>
    <x v="6"/>
    <x v="2"/>
    <x v="1"/>
    <x v="1"/>
    <n v="132"/>
    <n v="10.56"/>
    <n v="1393.92"/>
    <s v="Credit"/>
    <s v="Delivered"/>
    <m/>
  </r>
  <r>
    <x v="75"/>
    <x v="7"/>
    <x v="1"/>
    <x v="10"/>
    <x v="2"/>
    <n v="89"/>
    <n v="46.67"/>
    <n v="4153.63"/>
    <s v="Neft"/>
    <s v="Delivered"/>
    <m/>
  </r>
  <r>
    <x v="75"/>
    <x v="7"/>
    <x v="4"/>
    <x v="12"/>
    <x v="6"/>
    <n v="186"/>
    <n v="28.64"/>
    <n v="5327.04"/>
    <s v="Upi"/>
    <s v="Cancelled"/>
    <m/>
  </r>
  <r>
    <x v="75"/>
    <x v="1"/>
    <x v="2"/>
    <x v="1"/>
    <x v="1"/>
    <n v="66"/>
    <n v="9.23"/>
    <n v="609.18000000000006"/>
    <s v="Cheque"/>
    <s v="Pending"/>
    <m/>
  </r>
  <r>
    <x v="76"/>
    <x v="5"/>
    <x v="0"/>
    <x v="6"/>
    <x v="5"/>
    <n v="104"/>
    <n v="121.81"/>
    <n v="12668.24"/>
    <s v="Cheque"/>
    <s v="Pending"/>
    <s v="New Customer"/>
  </r>
  <r>
    <x v="76"/>
    <x v="2"/>
    <x v="3"/>
    <x v="10"/>
    <x v="2"/>
    <n v="27"/>
    <n v="45.38"/>
    <n v="1225.26"/>
    <s v="Upi"/>
    <s v="Delivered"/>
    <s v="Bulk Order"/>
  </r>
  <r>
    <x v="77"/>
    <x v="7"/>
    <x v="3"/>
    <x v="7"/>
    <x v="0"/>
    <n v="115"/>
    <n v="82.12"/>
    <n v="9443.8000000000011"/>
    <s v="Upi"/>
    <s v="Cancelled"/>
    <s v="New Customer"/>
  </r>
  <r>
    <x v="77"/>
    <x v="2"/>
    <x v="0"/>
    <x v="7"/>
    <x v="0"/>
    <n v="55"/>
    <n v="91.37"/>
    <n v="5025.3500000000004"/>
    <s v="Cheque"/>
    <s v="Pending"/>
    <s v="Bulk Order"/>
  </r>
  <r>
    <x v="78"/>
    <x v="6"/>
    <x v="2"/>
    <x v="5"/>
    <x v="4"/>
    <n v="127"/>
    <n v="56.74"/>
    <n v="7205.9800000000005"/>
    <s v="Cheque"/>
    <s v="Pending"/>
    <m/>
  </r>
  <r>
    <x v="78"/>
    <x v="6"/>
    <x v="4"/>
    <x v="11"/>
    <x v="1"/>
    <n v="59"/>
    <n v="23.89"/>
    <n v="1409.51"/>
    <s v="Neft"/>
    <s v="Delivered"/>
    <m/>
  </r>
  <r>
    <x v="79"/>
    <x v="1"/>
    <x v="4"/>
    <x v="4"/>
    <x v="3"/>
    <n v="188"/>
    <n v="13.01"/>
    <n v="2445.88"/>
    <s v="Cheque"/>
    <s v="Cancelled"/>
    <s v="New Customer"/>
  </r>
  <r>
    <x v="80"/>
    <x v="2"/>
    <x v="3"/>
    <x v="12"/>
    <x v="6"/>
    <n v="154"/>
    <n v="31.58"/>
    <n v="4863.32"/>
    <s v="Upi"/>
    <s v="Delivered"/>
    <m/>
  </r>
  <r>
    <x v="80"/>
    <x v="5"/>
    <x v="4"/>
    <x v="12"/>
    <x v="6"/>
    <n v="173"/>
    <n v="30.67"/>
    <n v="5305.91"/>
    <s v="Cash"/>
    <s v="Delivered"/>
    <s v="Bulk Order"/>
  </r>
  <r>
    <x v="81"/>
    <x v="7"/>
    <x v="3"/>
    <x v="5"/>
    <x v="4"/>
    <n v="72"/>
    <n v="55.46"/>
    <n v="3993.12"/>
    <s v="Credit"/>
    <s v="Pending"/>
    <m/>
  </r>
  <r>
    <x v="82"/>
    <x v="1"/>
    <x v="4"/>
    <x v="7"/>
    <x v="0"/>
    <n v="188"/>
    <n v="80.23"/>
    <n v="15083.240000000002"/>
    <s v="Cheque"/>
    <s v="Pending"/>
    <m/>
  </r>
  <r>
    <x v="82"/>
    <x v="6"/>
    <x v="2"/>
    <x v="0"/>
    <x v="0"/>
    <n v="69"/>
    <n v="43.85"/>
    <n v="3025.65"/>
    <s v="Cheque"/>
    <s v="Pending"/>
    <s v="New Customer"/>
  </r>
  <r>
    <x v="82"/>
    <x v="0"/>
    <x v="4"/>
    <x v="4"/>
    <x v="3"/>
    <n v="32"/>
    <n v="13.7"/>
    <n v="438.4"/>
    <s v="Upi"/>
    <s v="Delivered"/>
    <m/>
  </r>
  <r>
    <x v="82"/>
    <x v="5"/>
    <x v="1"/>
    <x v="11"/>
    <x v="1"/>
    <n v="87"/>
    <n v="26.91"/>
    <n v="2341.17"/>
    <s v="Neft"/>
    <s v="Delivered"/>
    <m/>
  </r>
  <r>
    <x v="83"/>
    <x v="5"/>
    <x v="1"/>
    <x v="4"/>
    <x v="3"/>
    <n v="165"/>
    <n v="13.9"/>
    <n v="2293.5"/>
    <s v="Neft"/>
    <s v="Delivered"/>
    <m/>
  </r>
  <r>
    <x v="83"/>
    <x v="1"/>
    <x v="2"/>
    <x v="10"/>
    <x v="2"/>
    <n v="70"/>
    <n v="51.74"/>
    <n v="3621.8"/>
    <s v="Upi"/>
    <s v="Cancelled"/>
    <m/>
  </r>
  <r>
    <x v="83"/>
    <x v="5"/>
    <x v="3"/>
    <x v="8"/>
    <x v="6"/>
    <n v="138"/>
    <n v="20.36"/>
    <n v="2809.68"/>
    <s v="Credit"/>
    <s v="Cancelled"/>
    <m/>
  </r>
  <r>
    <x v="84"/>
    <x v="1"/>
    <x v="2"/>
    <x v="3"/>
    <x v="3"/>
    <n v="163"/>
    <n v="11.24"/>
    <n v="1832.1200000000001"/>
    <s v="Upi"/>
    <s v="Pending"/>
    <s v="Follow Up Needed"/>
  </r>
  <r>
    <x v="84"/>
    <x v="1"/>
    <x v="1"/>
    <x v="11"/>
    <x v="1"/>
    <n v="24"/>
    <n v="25.55"/>
    <n v="613.20000000000005"/>
    <s v="Cash"/>
    <s v="Delivered"/>
    <s v="Urgent Delivery"/>
  </r>
  <r>
    <x v="84"/>
    <x v="0"/>
    <x v="4"/>
    <x v="6"/>
    <x v="5"/>
    <n v="182"/>
    <n v="125.79"/>
    <n v="22893.780000000002"/>
    <s v="Credit"/>
    <s v="Delivered"/>
    <m/>
  </r>
  <r>
    <x v="84"/>
    <x v="6"/>
    <x v="1"/>
    <x v="4"/>
    <x v="3"/>
    <n v="83"/>
    <n v="14.39"/>
    <n v="1194.3700000000001"/>
    <s v="Credit"/>
    <s v="Delivered"/>
    <s v="New Customer"/>
  </r>
  <r>
    <x v="84"/>
    <x v="1"/>
    <x v="0"/>
    <x v="4"/>
    <x v="3"/>
    <n v="141"/>
    <n v="13.13"/>
    <n v="1851.3300000000002"/>
    <s v="Upi"/>
    <s v="Delivered"/>
    <s v="Bulk Order"/>
  </r>
  <r>
    <x v="85"/>
    <x v="7"/>
    <x v="1"/>
    <x v="4"/>
    <x v="3"/>
    <n v="197"/>
    <n v="13.11"/>
    <n v="2582.67"/>
    <s v="Cheque"/>
    <s v="Delivered"/>
    <m/>
  </r>
  <r>
    <x v="85"/>
    <x v="0"/>
    <x v="4"/>
    <x v="3"/>
    <x v="3"/>
    <n v="197"/>
    <n v="12.6"/>
    <n v="2482.1999999999998"/>
    <s v="Cheque"/>
    <s v="Pending"/>
    <s v="Urgent Delivery"/>
  </r>
  <r>
    <x v="85"/>
    <x v="7"/>
    <x v="1"/>
    <x v="12"/>
    <x v="6"/>
    <n v="185"/>
    <n v="28.02"/>
    <n v="5183.7"/>
    <s v="Neft"/>
    <s v="Pending"/>
    <m/>
  </r>
  <r>
    <x v="85"/>
    <x v="0"/>
    <x v="0"/>
    <x v="9"/>
    <x v="5"/>
    <n v="52"/>
    <n v="110.88"/>
    <n v="5765.76"/>
    <s v="Upi"/>
    <s v="Cancelled"/>
    <s v="Bulk Order"/>
  </r>
  <r>
    <x v="85"/>
    <x v="0"/>
    <x v="4"/>
    <x v="0"/>
    <x v="0"/>
    <n v="134"/>
    <n v="42.46"/>
    <n v="5689.64"/>
    <s v="Cash"/>
    <s v="Pending"/>
    <m/>
  </r>
  <r>
    <x v="86"/>
    <x v="2"/>
    <x v="1"/>
    <x v="7"/>
    <x v="0"/>
    <n v="128"/>
    <n v="86.84"/>
    <n v="11115.52"/>
    <s v="Neft"/>
    <s v="Deliverd"/>
    <s v="Urgent Delivery"/>
  </r>
  <r>
    <x v="86"/>
    <x v="4"/>
    <x v="3"/>
    <x v="12"/>
    <x v="6"/>
    <n v="168"/>
    <n v="32.380000000000003"/>
    <n v="5439.84"/>
    <s v="Neft"/>
    <s v="Delivered"/>
    <m/>
  </r>
  <r>
    <x v="86"/>
    <x v="1"/>
    <x v="1"/>
    <x v="12"/>
    <x v="6"/>
    <n v="191"/>
    <n v="30.56"/>
    <n v="5836.96"/>
    <s v="Cash"/>
    <s v="Delivered"/>
    <s v="Follow Up Needed"/>
  </r>
  <r>
    <x v="86"/>
    <x v="6"/>
    <x v="2"/>
    <x v="12"/>
    <x v="6"/>
    <n v="86"/>
    <n v="31.91"/>
    <n v="2744.26"/>
    <s v="Upi"/>
    <s v="Cancelled"/>
    <m/>
  </r>
  <r>
    <x v="87"/>
    <x v="6"/>
    <x v="0"/>
    <x v="11"/>
    <x v="1"/>
    <n v="75"/>
    <n v="25.49"/>
    <n v="1911.7499999999998"/>
    <s v="Cheque"/>
    <s v="Delivered"/>
    <m/>
  </r>
  <r>
    <x v="88"/>
    <x v="0"/>
    <x v="0"/>
    <x v="12"/>
    <x v="6"/>
    <n v="82"/>
    <n v="30.01"/>
    <n v="2460.8200000000002"/>
    <s v="Cash"/>
    <s v="Delivered"/>
    <s v="New Customer"/>
  </r>
  <r>
    <x v="88"/>
    <x v="2"/>
    <x v="2"/>
    <x v="11"/>
    <x v="1"/>
    <n v="62"/>
    <n v="26.17"/>
    <n v="1622.5400000000002"/>
    <s v="Neft"/>
    <s v="Delivered"/>
    <m/>
  </r>
  <r>
    <x v="89"/>
    <x v="3"/>
    <x v="4"/>
    <x v="0"/>
    <x v="0"/>
    <n v="117"/>
    <n v="45.54"/>
    <n v="5328.18"/>
    <s v="Neft"/>
    <s v="Cancelled"/>
    <m/>
  </r>
  <r>
    <x v="89"/>
    <x v="6"/>
    <x v="1"/>
    <x v="8"/>
    <x v="6"/>
    <n v="87"/>
    <n v="21.1"/>
    <n v="1835.7"/>
    <s v="Upi"/>
    <s v="Delivered"/>
    <s v="Urgent Delivery"/>
  </r>
  <r>
    <x v="89"/>
    <x v="2"/>
    <x v="0"/>
    <x v="10"/>
    <x v="2"/>
    <n v="121"/>
    <n v="45.41"/>
    <n v="5494.61"/>
    <s v="Neft"/>
    <s v="Pending"/>
    <m/>
  </r>
  <r>
    <x v="90"/>
    <x v="7"/>
    <x v="4"/>
    <x v="6"/>
    <x v="5"/>
    <n v="177"/>
    <n v="122.07"/>
    <n v="21606.39"/>
    <s v="Cash"/>
    <s v="Delivered"/>
    <m/>
  </r>
  <r>
    <x v="90"/>
    <x v="3"/>
    <x v="4"/>
    <x v="1"/>
    <x v="1"/>
    <n v="109"/>
    <n v="9.39"/>
    <n v="1023.5100000000001"/>
    <s v="Cheque"/>
    <s v="Delivered"/>
    <m/>
  </r>
  <r>
    <x v="91"/>
    <x v="0"/>
    <x v="2"/>
    <x v="7"/>
    <x v="0"/>
    <n v="86"/>
    <n v="89.81"/>
    <n v="7723.66"/>
    <s v="Credit"/>
    <s v="Cancelled"/>
    <s v="Urgent Delivery"/>
  </r>
  <r>
    <x v="91"/>
    <x v="0"/>
    <x v="0"/>
    <x v="3"/>
    <x v="3"/>
    <n v="160"/>
    <n v="11.63"/>
    <n v="1860.8000000000002"/>
    <s v="Upi"/>
    <s v="Delivered"/>
    <m/>
  </r>
  <r>
    <x v="91"/>
    <x v="0"/>
    <x v="4"/>
    <x v="11"/>
    <x v="1"/>
    <n v="101"/>
    <n v="24.44"/>
    <n v="2468.44"/>
    <s v="Upi"/>
    <s v="Pending"/>
    <m/>
  </r>
  <r>
    <x v="92"/>
    <x v="1"/>
    <x v="4"/>
    <x v="3"/>
    <x v="3"/>
    <n v="28"/>
    <n v="11.15"/>
    <n v="312.2"/>
    <s v="Cash"/>
    <s v="Delivered"/>
    <m/>
  </r>
  <r>
    <x v="93"/>
    <x v="6"/>
    <x v="2"/>
    <x v="11"/>
    <x v="1"/>
    <n v="119"/>
    <n v="24.85"/>
    <n v="2957.15"/>
    <s v="Upi"/>
    <s v="Delivered"/>
    <s v="Return Item"/>
  </r>
  <r>
    <x v="93"/>
    <x v="2"/>
    <x v="0"/>
    <x v="8"/>
    <x v="6"/>
    <n v="58"/>
    <n v="18.739999999999998"/>
    <n v="1086.9199999999998"/>
    <s v="Neft"/>
    <s v="Cancelled"/>
    <s v="Urgent Delivery"/>
  </r>
  <r>
    <x v="93"/>
    <x v="6"/>
    <x v="4"/>
    <x v="9"/>
    <x v="5"/>
    <n v="125"/>
    <n v="116.65"/>
    <n v="14581.25"/>
    <s v="Cheque"/>
    <s v="Cancelled"/>
    <s v="Follow Up Needed"/>
  </r>
  <r>
    <x v="93"/>
    <x v="3"/>
    <x v="4"/>
    <x v="1"/>
    <x v="1"/>
    <n v="171"/>
    <n v="10.32"/>
    <n v="1764.72"/>
    <s v="Cash"/>
    <s v="Delivered"/>
    <s v="Follow Up Needed"/>
  </r>
  <r>
    <x v="93"/>
    <x v="3"/>
    <x v="0"/>
    <x v="9"/>
    <x v="5"/>
    <n v="46"/>
    <n v="108.79"/>
    <n v="5004.34"/>
    <s v="Cash"/>
    <s v="Pending"/>
    <m/>
  </r>
  <r>
    <x v="93"/>
    <x v="2"/>
    <x v="0"/>
    <x v="7"/>
    <x v="0"/>
    <n v="164"/>
    <n v="91.03"/>
    <n v="14928.92"/>
    <s v="Upi"/>
    <s v="Delivered"/>
    <s v="Return Item"/>
  </r>
  <r>
    <x v="93"/>
    <x v="4"/>
    <x v="0"/>
    <x v="1"/>
    <x v="1"/>
    <n v="106"/>
    <n v="9.76"/>
    <n v="1034.56"/>
    <s v="Upi"/>
    <s v="Delivered"/>
    <s v="Bulk Order"/>
  </r>
  <r>
    <x v="94"/>
    <x v="2"/>
    <x v="4"/>
    <x v="6"/>
    <x v="5"/>
    <n v="23"/>
    <n v="128.4"/>
    <n v="2953.2000000000003"/>
    <s v="Cheque"/>
    <s v="Deliverd"/>
    <m/>
  </r>
  <r>
    <x v="95"/>
    <x v="1"/>
    <x v="4"/>
    <x v="13"/>
    <x v="5"/>
    <n v="102"/>
    <n v="126"/>
    <n v="12852"/>
    <s v="Credit"/>
    <s v="Delivered"/>
    <s v="Bulk Order"/>
  </r>
  <r>
    <x v="95"/>
    <x v="2"/>
    <x v="4"/>
    <x v="5"/>
    <x v="4"/>
    <n v="33"/>
    <n v="55.69"/>
    <n v="1837.77"/>
    <s v="Upi"/>
    <s v="Cancelled"/>
    <m/>
  </r>
  <r>
    <x v="95"/>
    <x v="2"/>
    <x v="1"/>
    <x v="7"/>
    <x v="0"/>
    <n v="157"/>
    <n v="80.349999999999994"/>
    <n v="12614.949999999999"/>
    <s v="Cheque"/>
    <s v="Delivered"/>
    <s v="Bulk Order"/>
  </r>
  <r>
    <x v="96"/>
    <x v="7"/>
    <x v="4"/>
    <x v="4"/>
    <x v="3"/>
    <n v="158"/>
    <n v="14.27"/>
    <n v="2254.66"/>
    <s v="Credit"/>
    <s v="Cancelled"/>
    <s v="Bulk Order"/>
  </r>
  <r>
    <x v="96"/>
    <x v="5"/>
    <x v="1"/>
    <x v="2"/>
    <x v="2"/>
    <n v="133"/>
    <n v="50.66"/>
    <n v="6737.78"/>
    <s v="Credit"/>
    <s v="Delivered"/>
    <m/>
  </r>
  <r>
    <x v="96"/>
    <x v="6"/>
    <x v="1"/>
    <x v="9"/>
    <x v="5"/>
    <n v="65"/>
    <n v="118.67"/>
    <n v="7713.55"/>
    <s v="Neft"/>
    <s v="Pending"/>
    <m/>
  </r>
  <r>
    <x v="96"/>
    <x v="0"/>
    <x v="3"/>
    <x v="2"/>
    <x v="2"/>
    <n v="91"/>
    <n v="59.14"/>
    <n v="5381.74"/>
    <s v="Neft"/>
    <s v="Delivered"/>
    <m/>
  </r>
  <r>
    <x v="96"/>
    <x v="4"/>
    <x v="3"/>
    <x v="9"/>
    <x v="5"/>
    <n v="86"/>
    <n v="108.81"/>
    <n v="9357.66"/>
    <s v="Neft"/>
    <s v="Cancelled"/>
    <s v="Bulk Order"/>
  </r>
  <r>
    <x v="97"/>
    <x v="3"/>
    <x v="3"/>
    <x v="8"/>
    <x v="6"/>
    <n v="51"/>
    <n v="20.99"/>
    <n v="1070.49"/>
    <s v="Credit"/>
    <s v="Cancell"/>
    <s v="Return Item"/>
  </r>
  <r>
    <x v="97"/>
    <x v="3"/>
    <x v="2"/>
    <x v="2"/>
    <x v="2"/>
    <n v="77"/>
    <n v="56.7"/>
    <n v="4365.9000000000005"/>
    <s v="Neft"/>
    <s v="Cancelled"/>
    <s v="Urgent Delivery"/>
  </r>
  <r>
    <x v="97"/>
    <x v="7"/>
    <x v="4"/>
    <x v="7"/>
    <x v="0"/>
    <n v="63"/>
    <n v="84.5"/>
    <n v="5323.5"/>
    <s v="Credit"/>
    <s v="Delivered"/>
    <m/>
  </r>
  <r>
    <x v="98"/>
    <x v="6"/>
    <x v="1"/>
    <x v="8"/>
    <x v="6"/>
    <n v="177"/>
    <n v="21.17"/>
    <n v="3747.09"/>
    <s v="Credit"/>
    <s v="Delivered"/>
    <s v="Urgent Delivery"/>
  </r>
  <r>
    <x v="98"/>
    <x v="4"/>
    <x v="1"/>
    <x v="11"/>
    <x v="1"/>
    <n v="51"/>
    <n v="25.4"/>
    <n v="1295.3999999999999"/>
    <s v="Cheque"/>
    <s v="Delivered"/>
    <s v="New Customer"/>
  </r>
  <r>
    <x v="99"/>
    <x v="4"/>
    <x v="2"/>
    <x v="2"/>
    <x v="2"/>
    <n v="14"/>
    <n v="51.06"/>
    <n v="714.84"/>
    <s v="Credit"/>
    <s v="Delivered"/>
    <m/>
  </r>
  <r>
    <x v="100"/>
    <x v="5"/>
    <x v="4"/>
    <x v="3"/>
    <x v="3"/>
    <n v="184"/>
    <n v="11.43"/>
    <n v="2103.12"/>
    <s v="Upi"/>
    <s v="Delivered"/>
    <s v="New Customer"/>
  </r>
  <r>
    <x v="101"/>
    <x v="4"/>
    <x v="4"/>
    <x v="10"/>
    <x v="2"/>
    <n v="157"/>
    <n v="50.21"/>
    <n v="7882.97"/>
    <s v="Cash"/>
    <s v="Delivered"/>
    <s v="Bulk Order"/>
  </r>
  <r>
    <x v="102"/>
    <x v="3"/>
    <x v="2"/>
    <x v="3"/>
    <x v="3"/>
    <n v="103"/>
    <n v="12.57"/>
    <n v="1294.71"/>
    <s v="Neft"/>
    <s v="Delivered"/>
    <s v="Bulk Order"/>
  </r>
  <r>
    <x v="102"/>
    <x v="3"/>
    <x v="4"/>
    <x v="3"/>
    <x v="3"/>
    <n v="92"/>
    <n v="11.67"/>
    <n v="1073.6400000000001"/>
    <s v="Cash"/>
    <s v="Pending"/>
    <s v="Urgent Delivery"/>
  </r>
  <r>
    <x v="102"/>
    <x v="3"/>
    <x v="4"/>
    <x v="0"/>
    <x v="0"/>
    <n v="50"/>
    <n v="43.78"/>
    <n v="2189"/>
    <s v="Upi"/>
    <s v="Cancelled"/>
    <s v="New Customer"/>
  </r>
  <r>
    <x v="103"/>
    <x v="1"/>
    <x v="0"/>
    <x v="0"/>
    <x v="0"/>
    <n v="96"/>
    <n v="44.97"/>
    <n v="4317.12"/>
    <s v="Cash"/>
    <s v="Cancelled"/>
    <s v="Return Item"/>
  </r>
  <r>
    <x v="103"/>
    <x v="3"/>
    <x v="3"/>
    <x v="2"/>
    <x v="2"/>
    <n v="153"/>
    <n v="54.08"/>
    <n v="8274.24"/>
    <s v="Upi"/>
    <s v="Cancelled"/>
    <s v="Return Item"/>
  </r>
  <r>
    <x v="104"/>
    <x v="6"/>
    <x v="4"/>
    <x v="7"/>
    <x v="0"/>
    <n v="197"/>
    <n v="90.57"/>
    <n v="17842.289999999997"/>
    <s v="Neft"/>
    <s v="Delivered"/>
    <s v="Bulk Order"/>
  </r>
  <r>
    <x v="104"/>
    <x v="3"/>
    <x v="1"/>
    <x v="7"/>
    <x v="0"/>
    <n v="82"/>
    <n v="88.73"/>
    <n v="7275.8600000000006"/>
    <s v="Neft"/>
    <s v="Cancell"/>
    <m/>
  </r>
  <r>
    <x v="104"/>
    <x v="4"/>
    <x v="4"/>
    <x v="5"/>
    <x v="4"/>
    <n v="135"/>
    <n v="52.24"/>
    <n v="7052.4000000000005"/>
    <s v="Credit"/>
    <s v="Delivered"/>
    <s v="Follow Up Needed"/>
  </r>
  <r>
    <x v="105"/>
    <x v="4"/>
    <x v="0"/>
    <x v="4"/>
    <x v="3"/>
    <n v="61"/>
    <n v="13.49"/>
    <n v="822.89"/>
    <s v="Cash"/>
    <s v="Delivered"/>
    <m/>
  </r>
  <r>
    <x v="105"/>
    <x v="1"/>
    <x v="2"/>
    <x v="10"/>
    <x v="2"/>
    <n v="74"/>
    <n v="45.34"/>
    <n v="3355.1600000000003"/>
    <s v="Upi"/>
    <s v="Delivered"/>
    <s v="Follow Up Needed"/>
  </r>
  <r>
    <x v="105"/>
    <x v="2"/>
    <x v="2"/>
    <x v="4"/>
    <x v="3"/>
    <n v="127"/>
    <n v="13.09"/>
    <n v="1662.43"/>
    <s v="Credit"/>
    <s v="Pending"/>
    <s v="Bulk Order"/>
  </r>
  <r>
    <x v="105"/>
    <x v="3"/>
    <x v="0"/>
    <x v="13"/>
    <x v="5"/>
    <n v="69"/>
    <n v="117.58"/>
    <n v="8113.0199999999995"/>
    <s v="Upi"/>
    <s v="Delivered"/>
    <m/>
  </r>
  <r>
    <x v="105"/>
    <x v="5"/>
    <x v="2"/>
    <x v="5"/>
    <x v="4"/>
    <n v="132"/>
    <n v="51.83"/>
    <n v="6841.5599999999995"/>
    <s v="Cash"/>
    <s v="Pending"/>
    <s v="Bulk Order"/>
  </r>
  <r>
    <x v="105"/>
    <x v="1"/>
    <x v="2"/>
    <x v="0"/>
    <x v="0"/>
    <n v="75"/>
    <n v="48.14"/>
    <n v="3610.5"/>
    <s v="Cash"/>
    <s v="Delivered"/>
    <s v="Return Item"/>
  </r>
  <r>
    <x v="106"/>
    <x v="2"/>
    <x v="4"/>
    <x v="3"/>
    <x v="3"/>
    <n v="187"/>
    <n v="11.98"/>
    <n v="2240.2600000000002"/>
    <s v="Upi"/>
    <s v="Pending"/>
    <m/>
  </r>
  <r>
    <x v="106"/>
    <x v="6"/>
    <x v="1"/>
    <x v="4"/>
    <x v="3"/>
    <n v="73"/>
    <n v="13.67"/>
    <n v="997.91"/>
    <s v="Cheque"/>
    <s v="Delivered"/>
    <m/>
  </r>
  <r>
    <x v="107"/>
    <x v="4"/>
    <x v="0"/>
    <x v="5"/>
    <x v="4"/>
    <n v="197"/>
    <n v="55.49"/>
    <n v="10931.53"/>
    <s v="Cash"/>
    <s v="Delivered"/>
    <s v="Follow Up Needed"/>
  </r>
  <r>
    <x v="107"/>
    <x v="6"/>
    <x v="4"/>
    <x v="2"/>
    <x v="2"/>
    <n v="182"/>
    <n v="56.96"/>
    <n v="10366.719999999999"/>
    <s v="Cash"/>
    <s v="Delivered"/>
    <s v="Bulk Order"/>
  </r>
  <r>
    <x v="107"/>
    <x v="6"/>
    <x v="1"/>
    <x v="4"/>
    <x v="3"/>
    <n v="84"/>
    <n v="13.56"/>
    <n v="1139.04"/>
    <s v="Neft"/>
    <s v="Cancelled"/>
    <m/>
  </r>
  <r>
    <x v="107"/>
    <x v="5"/>
    <x v="4"/>
    <x v="12"/>
    <x v="6"/>
    <n v="168"/>
    <n v="31.04"/>
    <n v="5214.72"/>
    <s v="Upi"/>
    <s v="Delivered"/>
    <s v="Bulk Order"/>
  </r>
  <r>
    <x v="107"/>
    <x v="2"/>
    <x v="0"/>
    <x v="9"/>
    <x v="5"/>
    <n v="74"/>
    <n v="112.61"/>
    <n v="8333.14"/>
    <s v="Cash"/>
    <s v="Delivered"/>
    <s v="Bulk Order"/>
  </r>
  <r>
    <x v="107"/>
    <x v="1"/>
    <x v="4"/>
    <x v="6"/>
    <x v="5"/>
    <n v="126"/>
    <n v="131.08000000000001"/>
    <n v="16516.080000000002"/>
    <s v="Credit"/>
    <s v="Delivered"/>
    <s v="Urgent Delivery"/>
  </r>
  <r>
    <x v="108"/>
    <x v="5"/>
    <x v="2"/>
    <x v="0"/>
    <x v="0"/>
    <n v="37"/>
    <n v="45.64"/>
    <n v="1688.68"/>
    <s v="Cash"/>
    <s v="Delivered"/>
    <m/>
  </r>
  <r>
    <x v="108"/>
    <x v="3"/>
    <x v="1"/>
    <x v="8"/>
    <x v="6"/>
    <n v="193"/>
    <n v="18.66"/>
    <n v="3601.38"/>
    <s v="Credit"/>
    <s v="Delivered"/>
    <s v="New Customer"/>
  </r>
  <r>
    <x v="108"/>
    <x v="0"/>
    <x v="4"/>
    <x v="8"/>
    <x v="6"/>
    <n v="17"/>
    <n v="19.23"/>
    <n v="326.91000000000003"/>
    <s v="Cheque"/>
    <s v="Delivered"/>
    <s v="Bulk Order"/>
  </r>
  <r>
    <x v="108"/>
    <x v="0"/>
    <x v="0"/>
    <x v="10"/>
    <x v="2"/>
    <n v="11"/>
    <n v="47.95"/>
    <n v="527.45000000000005"/>
    <s v="Credit"/>
    <s v="Pending"/>
    <m/>
  </r>
  <r>
    <x v="108"/>
    <x v="0"/>
    <x v="2"/>
    <x v="8"/>
    <x v="6"/>
    <n v="194"/>
    <n v="18.8"/>
    <n v="3647.2000000000003"/>
    <s v="Neft"/>
    <s v="Delivered"/>
    <s v="New Customer"/>
  </r>
  <r>
    <x v="109"/>
    <x v="5"/>
    <x v="0"/>
    <x v="1"/>
    <x v="1"/>
    <n v="194"/>
    <n v="9.8800000000000008"/>
    <n v="1916.7200000000003"/>
    <s v="Credit"/>
    <s v="Delivered"/>
    <s v="New Customer"/>
  </r>
  <r>
    <x v="109"/>
    <x v="0"/>
    <x v="2"/>
    <x v="5"/>
    <x v="4"/>
    <n v="138"/>
    <n v="57.45"/>
    <n v="7928.1"/>
    <s v="Credit"/>
    <s v="Delivered"/>
    <m/>
  </r>
  <r>
    <x v="109"/>
    <x v="3"/>
    <x v="1"/>
    <x v="12"/>
    <x v="6"/>
    <n v="99"/>
    <n v="28.21"/>
    <n v="2792.79"/>
    <s v="Neft"/>
    <s v="Delivered"/>
    <s v="New Customer"/>
  </r>
  <r>
    <x v="109"/>
    <x v="1"/>
    <x v="4"/>
    <x v="0"/>
    <x v="0"/>
    <n v="71"/>
    <n v="45.35"/>
    <n v="3219.85"/>
    <s v="Cheque"/>
    <s v="Delivered"/>
    <s v="Return Item"/>
  </r>
  <r>
    <x v="110"/>
    <x v="1"/>
    <x v="4"/>
    <x v="3"/>
    <x v="3"/>
    <n v="92"/>
    <n v="12.64"/>
    <n v="1162.8800000000001"/>
    <s v="Upi"/>
    <s v="Delivered"/>
    <s v="Return Item"/>
  </r>
  <r>
    <x v="110"/>
    <x v="3"/>
    <x v="2"/>
    <x v="6"/>
    <x v="5"/>
    <n v="92"/>
    <n v="135.69"/>
    <n v="12483.48"/>
    <s v="Cash"/>
    <s v="Delivered"/>
    <s v="Bulk Order"/>
  </r>
  <r>
    <x v="110"/>
    <x v="3"/>
    <x v="2"/>
    <x v="8"/>
    <x v="6"/>
    <n v="188"/>
    <n v="19.86"/>
    <n v="3733.68"/>
    <s v="Neft"/>
    <s v="Pending"/>
    <m/>
  </r>
  <r>
    <x v="111"/>
    <x v="3"/>
    <x v="2"/>
    <x v="3"/>
    <x v="3"/>
    <n v="141"/>
    <n v="12.23"/>
    <n v="1724.43"/>
    <s v="Credit"/>
    <s v="Delivered"/>
    <m/>
  </r>
  <r>
    <x v="111"/>
    <x v="6"/>
    <x v="2"/>
    <x v="12"/>
    <x v="6"/>
    <n v="111"/>
    <n v="32.380000000000003"/>
    <n v="3594.1800000000003"/>
    <s v="Credit"/>
    <s v="Delivered"/>
    <s v="New Customer"/>
  </r>
  <r>
    <x v="112"/>
    <x v="3"/>
    <x v="1"/>
    <x v="6"/>
    <x v="5"/>
    <n v="185"/>
    <n v="126.41"/>
    <n v="23385.85"/>
    <s v="Cash"/>
    <s v="Delivered"/>
    <m/>
  </r>
  <r>
    <x v="113"/>
    <x v="2"/>
    <x v="3"/>
    <x v="3"/>
    <x v="3"/>
    <n v="152"/>
    <n v="12.85"/>
    <n v="1953.2"/>
    <s v="Upi"/>
    <s v="Delivered"/>
    <s v="Urgent Delivery"/>
  </r>
  <r>
    <x v="114"/>
    <x v="4"/>
    <x v="2"/>
    <x v="4"/>
    <x v="3"/>
    <n v="111"/>
    <n v="13"/>
    <n v="1443"/>
    <s v="Cash"/>
    <s v="Delivered"/>
    <m/>
  </r>
  <r>
    <x v="114"/>
    <x v="0"/>
    <x v="1"/>
    <x v="1"/>
    <x v="1"/>
    <n v="178"/>
    <n v="10.130000000000001"/>
    <n v="1803.14"/>
    <s v="Credit"/>
    <s v="Delivered"/>
    <s v="Bulk Order"/>
  </r>
  <r>
    <x v="114"/>
    <x v="0"/>
    <x v="2"/>
    <x v="0"/>
    <x v="0"/>
    <n v="167"/>
    <n v="45.95"/>
    <n v="7673.6500000000005"/>
    <s v="Cash"/>
    <s v="Delivered"/>
    <s v="Return Item"/>
  </r>
  <r>
    <x v="114"/>
    <x v="2"/>
    <x v="1"/>
    <x v="10"/>
    <x v="2"/>
    <n v="175"/>
    <n v="50.35"/>
    <n v="8811.25"/>
    <s v="Cheque"/>
    <s v="Pending"/>
    <m/>
  </r>
  <r>
    <x v="114"/>
    <x v="7"/>
    <x v="3"/>
    <x v="4"/>
    <x v="3"/>
    <n v="138"/>
    <n v="14.14"/>
    <n v="1951.3200000000002"/>
    <s v="Cash"/>
    <s v="Pending"/>
    <m/>
  </r>
  <r>
    <x v="115"/>
    <x v="7"/>
    <x v="0"/>
    <x v="7"/>
    <x v="0"/>
    <n v="172"/>
    <n v="84.45"/>
    <n v="14525.4"/>
    <s v="Cheque"/>
    <s v="Cancelled"/>
    <s v="Follow Up Needed"/>
  </r>
  <r>
    <x v="115"/>
    <x v="2"/>
    <x v="1"/>
    <x v="10"/>
    <x v="2"/>
    <n v="106"/>
    <n v="49.38"/>
    <n v="5234.2800000000007"/>
    <s v="Cash"/>
    <s v="Cancelled"/>
    <m/>
  </r>
  <r>
    <x v="116"/>
    <x v="1"/>
    <x v="1"/>
    <x v="10"/>
    <x v="2"/>
    <n v="106"/>
    <n v="47.84"/>
    <n v="5071.04"/>
    <s v="Upi"/>
    <s v="Delivered"/>
    <m/>
  </r>
  <r>
    <x v="116"/>
    <x v="1"/>
    <x v="3"/>
    <x v="0"/>
    <x v="0"/>
    <n v="62"/>
    <n v="48.57"/>
    <n v="3011.34"/>
    <s v="Upi"/>
    <s v="Pending"/>
    <m/>
  </r>
  <r>
    <x v="117"/>
    <x v="4"/>
    <x v="3"/>
    <x v="1"/>
    <x v="1"/>
    <n v="100"/>
    <n v="9.5"/>
    <n v="950"/>
    <s v="Upi"/>
    <s v="Delivered"/>
    <m/>
  </r>
  <r>
    <x v="117"/>
    <x v="1"/>
    <x v="3"/>
    <x v="6"/>
    <x v="5"/>
    <n v="107"/>
    <n v="124.39"/>
    <n v="13309.73"/>
    <s v="Cheque"/>
    <s v="Delivered"/>
    <m/>
  </r>
  <r>
    <x v="117"/>
    <x v="6"/>
    <x v="2"/>
    <x v="0"/>
    <x v="0"/>
    <n v="139"/>
    <n v="43.13"/>
    <n v="5995.0700000000006"/>
    <s v="Upi"/>
    <s v="Deliverd"/>
    <s v="Urgent Delivery"/>
  </r>
  <r>
    <x v="117"/>
    <x v="7"/>
    <x v="4"/>
    <x v="13"/>
    <x v="5"/>
    <n v="102"/>
    <n v="112.93"/>
    <n v="11518.86"/>
    <s v="Cash"/>
    <s v="Delivered"/>
    <s v="Urgent Delivery"/>
  </r>
  <r>
    <x v="118"/>
    <x v="4"/>
    <x v="3"/>
    <x v="3"/>
    <x v="3"/>
    <n v="133"/>
    <n v="11.61"/>
    <n v="1544.1299999999999"/>
    <s v="Cheque"/>
    <s v="Pending"/>
    <m/>
  </r>
  <r>
    <x v="118"/>
    <x v="6"/>
    <x v="3"/>
    <x v="4"/>
    <x v="3"/>
    <n v="142"/>
    <n v="15.02"/>
    <n v="2132.84"/>
    <s v="Neft"/>
    <s v="Delivered"/>
    <m/>
  </r>
  <r>
    <x v="118"/>
    <x v="3"/>
    <x v="3"/>
    <x v="7"/>
    <x v="0"/>
    <n v="133"/>
    <n v="85.32"/>
    <n v="11347.56"/>
    <s v="Credit"/>
    <s v="Delivered"/>
    <m/>
  </r>
  <r>
    <x v="118"/>
    <x v="4"/>
    <x v="0"/>
    <x v="10"/>
    <x v="2"/>
    <n v="157"/>
    <n v="51.67"/>
    <n v="8112.1900000000005"/>
    <s v="Credit"/>
    <s v="Delivered"/>
    <m/>
  </r>
  <r>
    <x v="119"/>
    <x v="4"/>
    <x v="2"/>
    <x v="3"/>
    <x v="3"/>
    <n v="195"/>
    <n v="12.17"/>
    <n v="2373.15"/>
    <s v="Neft"/>
    <s v="Delivered"/>
    <s v="Bulk Order"/>
  </r>
  <r>
    <x v="119"/>
    <x v="0"/>
    <x v="0"/>
    <x v="11"/>
    <x v="1"/>
    <n v="135"/>
    <n v="26.36"/>
    <n v="3558.6"/>
    <s v="Upi"/>
    <s v="Delivered"/>
    <m/>
  </r>
  <r>
    <x v="119"/>
    <x v="0"/>
    <x v="0"/>
    <x v="8"/>
    <x v="6"/>
    <n v="52"/>
    <n v="19.97"/>
    <n v="1038.44"/>
    <s v="Cheque"/>
    <s v="Delivered"/>
    <s v="Return Item"/>
  </r>
  <r>
    <x v="119"/>
    <x v="3"/>
    <x v="0"/>
    <x v="13"/>
    <x v="5"/>
    <n v="145"/>
    <n v="121.02"/>
    <n v="17547.899999999998"/>
    <s v="Credit"/>
    <s v="Cancelled"/>
    <m/>
  </r>
  <r>
    <x v="120"/>
    <x v="7"/>
    <x v="4"/>
    <x v="10"/>
    <x v="2"/>
    <n v="59"/>
    <n v="46.84"/>
    <n v="2763.5600000000004"/>
    <s v="Credit"/>
    <s v="Delivered"/>
    <m/>
  </r>
  <r>
    <x v="120"/>
    <x v="0"/>
    <x v="0"/>
    <x v="13"/>
    <x v="5"/>
    <n v="85"/>
    <n v="114.1"/>
    <n v="9698.5"/>
    <s v="Cash"/>
    <s v="Delivered"/>
    <s v="Follow Up Needed"/>
  </r>
  <r>
    <x v="121"/>
    <x v="3"/>
    <x v="1"/>
    <x v="1"/>
    <x v="1"/>
    <n v="91"/>
    <n v="10.78"/>
    <n v="980.9799999999999"/>
    <s v="Neft"/>
    <s v="Delivered"/>
    <s v="Urgent Delivery"/>
  </r>
  <r>
    <x v="122"/>
    <x v="0"/>
    <x v="2"/>
    <x v="4"/>
    <x v="3"/>
    <n v="67"/>
    <n v="12.93"/>
    <n v="866.31"/>
    <s v="Cash"/>
    <s v="Delivered"/>
    <m/>
  </r>
  <r>
    <x v="122"/>
    <x v="2"/>
    <x v="4"/>
    <x v="7"/>
    <x v="0"/>
    <n v="179"/>
    <n v="83.32"/>
    <n v="14914.279999999999"/>
    <s v="Neft"/>
    <s v="Cancelled"/>
    <s v="New Customer"/>
  </r>
  <r>
    <x v="122"/>
    <x v="6"/>
    <x v="3"/>
    <x v="3"/>
    <x v="3"/>
    <n v="122"/>
    <n v="11.62"/>
    <n v="1417.6399999999999"/>
    <s v="Credit"/>
    <s v="Pending"/>
    <s v="Follow Up Needed"/>
  </r>
  <r>
    <x v="123"/>
    <x v="7"/>
    <x v="0"/>
    <x v="11"/>
    <x v="1"/>
    <n v="196"/>
    <n v="24.38"/>
    <n v="4778.4799999999996"/>
    <s v="Credit"/>
    <s v="Cancelled"/>
    <m/>
  </r>
  <r>
    <x v="123"/>
    <x v="7"/>
    <x v="4"/>
    <x v="13"/>
    <x v="5"/>
    <n v="106"/>
    <n v="123.61"/>
    <n v="13102.66"/>
    <s v="Neft"/>
    <s v="Delivered"/>
    <s v="New Customer"/>
  </r>
  <r>
    <x v="123"/>
    <x v="0"/>
    <x v="0"/>
    <x v="6"/>
    <x v="5"/>
    <n v="57"/>
    <n v="122.2"/>
    <n v="6965.4000000000005"/>
    <s v="Cash"/>
    <s v="Delivered"/>
    <m/>
  </r>
  <r>
    <x v="123"/>
    <x v="6"/>
    <x v="1"/>
    <x v="0"/>
    <x v="0"/>
    <n v="184"/>
    <n v="42.35"/>
    <n v="7792.4000000000005"/>
    <s v="Neft"/>
    <s v="Delivered"/>
    <m/>
  </r>
  <r>
    <x v="124"/>
    <x v="1"/>
    <x v="0"/>
    <x v="8"/>
    <x v="6"/>
    <n v="157"/>
    <n v="21.51"/>
    <n v="3377.07"/>
    <s v="Neft"/>
    <s v="Cancelled"/>
    <s v="Follow Up Needed"/>
  </r>
  <r>
    <x v="124"/>
    <x v="1"/>
    <x v="4"/>
    <x v="1"/>
    <x v="1"/>
    <n v="50"/>
    <n v="9.81"/>
    <n v="490.5"/>
    <s v="Credit"/>
    <s v="Cancelled"/>
    <m/>
  </r>
  <r>
    <x v="124"/>
    <x v="4"/>
    <x v="0"/>
    <x v="10"/>
    <x v="2"/>
    <n v="30"/>
    <n v="48.85"/>
    <n v="1465.5"/>
    <s v="Neft"/>
    <s v="Delivered"/>
    <s v="New Customer"/>
  </r>
  <r>
    <x v="125"/>
    <x v="2"/>
    <x v="0"/>
    <x v="0"/>
    <x v="0"/>
    <n v="126"/>
    <n v="44.06"/>
    <n v="5551.56"/>
    <s v="Credit"/>
    <s v="Cancelled"/>
    <m/>
  </r>
  <r>
    <x v="126"/>
    <x v="6"/>
    <x v="3"/>
    <x v="1"/>
    <x v="1"/>
    <n v="109"/>
    <n v="10.54"/>
    <n v="1148.8599999999999"/>
    <s v="Neft"/>
    <s v="Cancelled"/>
    <s v="Bulk Order"/>
  </r>
  <r>
    <x v="127"/>
    <x v="7"/>
    <x v="0"/>
    <x v="9"/>
    <x v="5"/>
    <n v="151"/>
    <n v="112.26"/>
    <n v="16951.260000000002"/>
    <s v="Upi"/>
    <s v="Delivered"/>
    <m/>
  </r>
  <r>
    <x v="127"/>
    <x v="2"/>
    <x v="4"/>
    <x v="3"/>
    <x v="3"/>
    <n v="43"/>
    <n v="12.73"/>
    <n v="547.39"/>
    <s v="Neft"/>
    <s v="Delivered"/>
    <s v="New Customer"/>
  </r>
  <r>
    <x v="127"/>
    <x v="6"/>
    <x v="2"/>
    <x v="0"/>
    <x v="0"/>
    <n v="44"/>
    <n v="46.64"/>
    <n v="2052.16"/>
    <s v="Neft"/>
    <s v="Pending"/>
    <s v="Bulk Order"/>
  </r>
  <r>
    <x v="128"/>
    <x v="6"/>
    <x v="2"/>
    <x v="2"/>
    <x v="2"/>
    <n v="18"/>
    <n v="52.18"/>
    <n v="939.24"/>
    <s v="Cheque"/>
    <s v="Pending"/>
    <s v="Urgent Delivery"/>
  </r>
  <r>
    <x v="128"/>
    <x v="2"/>
    <x v="2"/>
    <x v="6"/>
    <x v="5"/>
    <n v="138"/>
    <n v="124.47"/>
    <n v="17176.86"/>
    <s v="Credit"/>
    <s v="Cancelled"/>
    <s v="Bulk Order"/>
  </r>
  <r>
    <x v="128"/>
    <x v="7"/>
    <x v="0"/>
    <x v="5"/>
    <x v="4"/>
    <n v="158"/>
    <n v="56.79"/>
    <n v="8972.82"/>
    <s v="Upi"/>
    <s v="Delivered"/>
    <s v="Return Item"/>
  </r>
  <r>
    <x v="129"/>
    <x v="1"/>
    <x v="0"/>
    <x v="7"/>
    <x v="0"/>
    <n v="58"/>
    <n v="81.45"/>
    <n v="4724.1000000000004"/>
    <s v="Cheque"/>
    <s v="Pending"/>
    <s v="Return Item"/>
  </r>
  <r>
    <x v="130"/>
    <x v="1"/>
    <x v="2"/>
    <x v="12"/>
    <x v="6"/>
    <n v="83"/>
    <n v="28.18"/>
    <n v="2338.94"/>
    <s v="Neft"/>
    <s v="Cancelled"/>
    <s v="Urgent Delivery"/>
  </r>
  <r>
    <x v="130"/>
    <x v="0"/>
    <x v="3"/>
    <x v="5"/>
    <x v="4"/>
    <n v="148"/>
    <n v="55.86"/>
    <n v="8267.2800000000007"/>
    <s v="Upi"/>
    <s v="Cancelled"/>
    <s v="Follow Up Needed"/>
  </r>
  <r>
    <x v="130"/>
    <x v="5"/>
    <x v="1"/>
    <x v="0"/>
    <x v="0"/>
    <n v="172"/>
    <n v="46.63"/>
    <n v="8020.3600000000006"/>
    <s v="Upi"/>
    <s v="Delivered"/>
    <s v="New Customer"/>
  </r>
  <r>
    <x v="130"/>
    <x v="4"/>
    <x v="4"/>
    <x v="11"/>
    <x v="1"/>
    <n v="152"/>
    <n v="23.83"/>
    <n v="3622.16"/>
    <s v="Upi"/>
    <s v="Deliverd"/>
    <s v="New Customer"/>
  </r>
  <r>
    <x v="131"/>
    <x v="5"/>
    <x v="1"/>
    <x v="6"/>
    <x v="5"/>
    <n v="76"/>
    <n v="133.93"/>
    <n v="10178.68"/>
    <s v="Credit"/>
    <s v="Delivered"/>
    <m/>
  </r>
  <r>
    <x v="132"/>
    <x v="2"/>
    <x v="0"/>
    <x v="7"/>
    <x v="0"/>
    <n v="110"/>
    <n v="87.44"/>
    <n v="9618.4"/>
    <s v="Cash"/>
    <s v="Delivered"/>
    <m/>
  </r>
  <r>
    <x v="132"/>
    <x v="6"/>
    <x v="2"/>
    <x v="7"/>
    <x v="0"/>
    <n v="136"/>
    <n v="82.06"/>
    <n v="11160.16"/>
    <s v="Credit"/>
    <s v="Pending"/>
    <s v="Return Item"/>
  </r>
  <r>
    <x v="133"/>
    <x v="4"/>
    <x v="1"/>
    <x v="9"/>
    <x v="5"/>
    <n v="156"/>
    <n v="107.88"/>
    <n v="16829.28"/>
    <s v="Upi"/>
    <s v="Delivered"/>
    <m/>
  </r>
  <r>
    <x v="134"/>
    <x v="5"/>
    <x v="4"/>
    <x v="10"/>
    <x v="2"/>
    <n v="14"/>
    <n v="49.42"/>
    <n v="691.88"/>
    <s v="Upi"/>
    <s v="Delivered"/>
    <m/>
  </r>
  <r>
    <x v="135"/>
    <x v="4"/>
    <x v="0"/>
    <x v="10"/>
    <x v="2"/>
    <n v="10"/>
    <n v="45.77"/>
    <n v="457.70000000000005"/>
    <s v="Neft"/>
    <s v="Delivered"/>
    <m/>
  </r>
  <r>
    <x v="135"/>
    <x v="2"/>
    <x v="0"/>
    <x v="10"/>
    <x v="2"/>
    <n v="177"/>
    <n v="46.75"/>
    <n v="8274.75"/>
    <s v="Credit"/>
    <s v="Pending"/>
    <s v="Bulk Order"/>
  </r>
  <r>
    <x v="135"/>
    <x v="5"/>
    <x v="4"/>
    <x v="3"/>
    <x v="3"/>
    <n v="162"/>
    <n v="11.66"/>
    <n v="1888.92"/>
    <s v="Credit"/>
    <s v="Delivered"/>
    <m/>
  </r>
  <r>
    <x v="135"/>
    <x v="5"/>
    <x v="4"/>
    <x v="5"/>
    <x v="4"/>
    <n v="70"/>
    <n v="56.49"/>
    <n v="3954.3"/>
    <s v="Neft"/>
    <s v="Pending"/>
    <s v="Bulk Order"/>
  </r>
  <r>
    <x v="135"/>
    <x v="5"/>
    <x v="1"/>
    <x v="11"/>
    <x v="1"/>
    <n v="87"/>
    <n v="25.53"/>
    <n v="2221.11"/>
    <s v="Upi"/>
    <s v="Cancelled"/>
    <s v="Urgent Delivery"/>
  </r>
  <r>
    <x v="135"/>
    <x v="7"/>
    <x v="2"/>
    <x v="5"/>
    <x v="4"/>
    <n v="144"/>
    <n v="58.7"/>
    <n v="8452.8000000000011"/>
    <s v="Upi"/>
    <s v="Delivered"/>
    <s v="New Customer"/>
  </r>
  <r>
    <x v="136"/>
    <x v="1"/>
    <x v="0"/>
    <x v="2"/>
    <x v="2"/>
    <n v="17"/>
    <n v="54.35"/>
    <n v="923.95"/>
    <s v="Neft"/>
    <s v="Delivered"/>
    <m/>
  </r>
  <r>
    <x v="136"/>
    <x v="0"/>
    <x v="3"/>
    <x v="9"/>
    <x v="5"/>
    <n v="140"/>
    <n v="113.93"/>
    <n v="15950.2"/>
    <s v="Cash"/>
    <s v="Pending"/>
    <s v="Urgent Delivery"/>
  </r>
  <r>
    <x v="136"/>
    <x v="3"/>
    <x v="4"/>
    <x v="11"/>
    <x v="1"/>
    <n v="68"/>
    <n v="25.88"/>
    <n v="1759.84"/>
    <s v="Cheque"/>
    <s v="Pending"/>
    <m/>
  </r>
  <r>
    <x v="136"/>
    <x v="3"/>
    <x v="0"/>
    <x v="3"/>
    <x v="3"/>
    <n v="164"/>
    <n v="12.08"/>
    <n v="1981.1200000000001"/>
    <s v="Upi"/>
    <s v="Cancelled"/>
    <m/>
  </r>
  <r>
    <x v="136"/>
    <x v="4"/>
    <x v="0"/>
    <x v="13"/>
    <x v="5"/>
    <n v="137"/>
    <n v="122.69"/>
    <n v="16808.53"/>
    <s v="Neft"/>
    <s v="Delivered"/>
    <s v="Return Item"/>
  </r>
  <r>
    <x v="137"/>
    <x v="4"/>
    <x v="0"/>
    <x v="0"/>
    <x v="0"/>
    <n v="125"/>
    <n v="47.12"/>
    <n v="5890"/>
    <s v="Cheque"/>
    <s v="Delivered"/>
    <s v="Urgent Delivery"/>
  </r>
  <r>
    <x v="137"/>
    <x v="5"/>
    <x v="0"/>
    <x v="5"/>
    <x v="4"/>
    <n v="45"/>
    <n v="56.4"/>
    <n v="2538"/>
    <s v="Neft"/>
    <s v="Delivered"/>
    <s v="Bulk Order"/>
  </r>
  <r>
    <x v="138"/>
    <x v="1"/>
    <x v="4"/>
    <x v="4"/>
    <x v="3"/>
    <n v="19"/>
    <n v="14.1"/>
    <n v="267.89999999999998"/>
    <s v="Credit"/>
    <s v="Delivered"/>
    <s v="New Customer"/>
  </r>
  <r>
    <x v="138"/>
    <x v="2"/>
    <x v="2"/>
    <x v="13"/>
    <x v="5"/>
    <n v="198"/>
    <n v="122.95"/>
    <n v="24344.100000000002"/>
    <s v="Credit"/>
    <s v="Delivered"/>
    <m/>
  </r>
  <r>
    <x v="139"/>
    <x v="0"/>
    <x v="3"/>
    <x v="10"/>
    <x v="2"/>
    <n v="171"/>
    <n v="50.11"/>
    <n v="8568.81"/>
    <s v="Credit"/>
    <s v="Delivered"/>
    <m/>
  </r>
  <r>
    <x v="139"/>
    <x v="4"/>
    <x v="2"/>
    <x v="13"/>
    <x v="5"/>
    <n v="26"/>
    <n v="122.8"/>
    <n v="3192.7999999999997"/>
    <s v="Credit"/>
    <s v="Delivered"/>
    <m/>
  </r>
  <r>
    <x v="139"/>
    <x v="6"/>
    <x v="1"/>
    <x v="0"/>
    <x v="0"/>
    <n v="34"/>
    <n v="48.54"/>
    <n v="1650.36"/>
    <s v="Cash"/>
    <s v="Delivered"/>
    <m/>
  </r>
  <r>
    <x v="139"/>
    <x v="1"/>
    <x v="3"/>
    <x v="0"/>
    <x v="0"/>
    <n v="65"/>
    <n v="42.66"/>
    <n v="2772.8999999999996"/>
    <s v="Upi"/>
    <s v="Delivered"/>
    <s v="Follow Up Needed"/>
  </r>
  <r>
    <x v="140"/>
    <x v="3"/>
    <x v="0"/>
    <x v="11"/>
    <x v="1"/>
    <n v="35"/>
    <n v="25.46"/>
    <n v="891.1"/>
    <s v="Upi"/>
    <s v="Delivered"/>
    <m/>
  </r>
  <r>
    <x v="141"/>
    <x v="3"/>
    <x v="1"/>
    <x v="9"/>
    <x v="5"/>
    <n v="40"/>
    <n v="114.53"/>
    <n v="4581.2"/>
    <s v="Credit"/>
    <s v="Delivered"/>
    <m/>
  </r>
  <r>
    <x v="141"/>
    <x v="5"/>
    <x v="0"/>
    <x v="4"/>
    <x v="3"/>
    <n v="183"/>
    <n v="13.4"/>
    <n v="2452.2000000000003"/>
    <s v="Credit"/>
    <s v="Delivered"/>
    <s v="Return Item"/>
  </r>
  <r>
    <x v="142"/>
    <x v="2"/>
    <x v="2"/>
    <x v="12"/>
    <x v="6"/>
    <n v="81"/>
    <n v="32.36"/>
    <n v="2621.16"/>
    <s v="Upi"/>
    <s v="Delivered"/>
    <m/>
  </r>
  <r>
    <x v="142"/>
    <x v="7"/>
    <x v="3"/>
    <x v="0"/>
    <x v="0"/>
    <n v="84"/>
    <n v="42.47"/>
    <n v="3567.48"/>
    <s v="Neft"/>
    <s v="Delivered"/>
    <s v="Return Item"/>
  </r>
  <r>
    <x v="142"/>
    <x v="6"/>
    <x v="1"/>
    <x v="13"/>
    <x v="5"/>
    <n v="177"/>
    <n v="119.1"/>
    <n v="21080.7"/>
    <s v="Upi"/>
    <s v="Cancelled"/>
    <s v="New Customer"/>
  </r>
  <r>
    <x v="143"/>
    <x v="1"/>
    <x v="1"/>
    <x v="11"/>
    <x v="1"/>
    <n v="45"/>
    <n v="25.62"/>
    <n v="1152.9000000000001"/>
    <s v="Upi"/>
    <s v="Pending"/>
    <m/>
  </r>
  <r>
    <x v="143"/>
    <x v="3"/>
    <x v="4"/>
    <x v="7"/>
    <x v="0"/>
    <n v="90"/>
    <n v="87.52"/>
    <n v="7876.7999999999993"/>
    <s v="Cash"/>
    <s v="Delivered"/>
    <m/>
  </r>
  <r>
    <x v="144"/>
    <x v="3"/>
    <x v="2"/>
    <x v="6"/>
    <x v="5"/>
    <n v="170"/>
    <n v="135.29"/>
    <n v="22999.3"/>
    <s v="Upi"/>
    <s v="Cancelled"/>
    <s v="Bulk Order"/>
  </r>
  <r>
    <x v="144"/>
    <x v="0"/>
    <x v="4"/>
    <x v="6"/>
    <x v="5"/>
    <n v="25"/>
    <n v="136.47"/>
    <n v="3411.75"/>
    <s v="Cheque"/>
    <s v="Delivered"/>
    <m/>
  </r>
  <r>
    <x v="144"/>
    <x v="5"/>
    <x v="4"/>
    <x v="4"/>
    <x v="3"/>
    <n v="173"/>
    <n v="14.98"/>
    <n v="2591.54"/>
    <s v="Upi"/>
    <s v="Delivered"/>
    <m/>
  </r>
  <r>
    <x v="144"/>
    <x v="6"/>
    <x v="0"/>
    <x v="10"/>
    <x v="2"/>
    <n v="117"/>
    <n v="44.49"/>
    <n v="5205.33"/>
    <s v="Cheque"/>
    <s v="Pending"/>
    <m/>
  </r>
  <r>
    <x v="144"/>
    <x v="3"/>
    <x v="4"/>
    <x v="6"/>
    <x v="5"/>
    <n v="157"/>
    <n v="137.38"/>
    <n v="21568.66"/>
    <s v="Cheque"/>
    <s v="Pending"/>
    <s v="Urgent Delivery"/>
  </r>
  <r>
    <x v="145"/>
    <x v="5"/>
    <x v="1"/>
    <x v="10"/>
    <x v="2"/>
    <n v="157"/>
    <n v="46.88"/>
    <n v="7360.1600000000008"/>
    <s v="Neft"/>
    <s v="Cancelled"/>
    <m/>
  </r>
  <r>
    <x v="146"/>
    <x v="1"/>
    <x v="1"/>
    <x v="1"/>
    <x v="1"/>
    <n v="17"/>
    <n v="10.61"/>
    <n v="180.37"/>
    <s v="Cheque"/>
    <s v="Pending"/>
    <s v="Return Item"/>
  </r>
  <r>
    <x v="146"/>
    <x v="4"/>
    <x v="1"/>
    <x v="11"/>
    <x v="1"/>
    <n v="200"/>
    <n v="24.08"/>
    <n v="4816"/>
    <s v="Upi"/>
    <s v="Delivered"/>
    <s v="Urgent Delivery"/>
  </r>
  <r>
    <x v="147"/>
    <x v="1"/>
    <x v="3"/>
    <x v="8"/>
    <x v="6"/>
    <n v="50"/>
    <n v="21.39"/>
    <n v="1069.5"/>
    <s v="Upi"/>
    <s v="Delivered"/>
    <s v="Urgent Delivery"/>
  </r>
  <r>
    <x v="147"/>
    <x v="2"/>
    <x v="3"/>
    <x v="6"/>
    <x v="5"/>
    <n v="132"/>
    <n v="135.15"/>
    <n v="17839.8"/>
    <s v="Credit"/>
    <s v="Cancelled"/>
    <m/>
  </r>
  <r>
    <x v="147"/>
    <x v="2"/>
    <x v="0"/>
    <x v="9"/>
    <x v="5"/>
    <n v="44"/>
    <n v="117.9"/>
    <n v="5187.6000000000004"/>
    <s v="Upi"/>
    <s v="Delivered"/>
    <m/>
  </r>
  <r>
    <x v="147"/>
    <x v="4"/>
    <x v="1"/>
    <x v="0"/>
    <x v="0"/>
    <n v="61"/>
    <n v="47.5"/>
    <n v="2897.5"/>
    <s v="Neft"/>
    <s v="Cancelled"/>
    <s v="New Customer"/>
  </r>
  <r>
    <x v="148"/>
    <x v="6"/>
    <x v="2"/>
    <x v="3"/>
    <x v="3"/>
    <n v="123"/>
    <n v="11.97"/>
    <n v="1472.3100000000002"/>
    <s v="Neft"/>
    <s v="Cancelled"/>
    <s v="New Customer"/>
  </r>
  <r>
    <x v="148"/>
    <x v="2"/>
    <x v="1"/>
    <x v="2"/>
    <x v="2"/>
    <n v="115"/>
    <n v="54.82"/>
    <n v="6304.3"/>
    <s v="Credit"/>
    <s v="Pending"/>
    <s v="Follow Up Needed"/>
  </r>
  <r>
    <x v="148"/>
    <x v="0"/>
    <x v="3"/>
    <x v="11"/>
    <x v="1"/>
    <n v="190"/>
    <n v="24.47"/>
    <n v="4649.3"/>
    <s v="Cheque"/>
    <s v="Delivered"/>
    <s v="New Customer"/>
  </r>
  <r>
    <x v="149"/>
    <x v="1"/>
    <x v="4"/>
    <x v="9"/>
    <x v="5"/>
    <n v="11"/>
    <n v="112.86"/>
    <n v="1241.46"/>
    <s v="Cheque"/>
    <s v="Cancelled"/>
    <m/>
  </r>
  <r>
    <x v="149"/>
    <x v="3"/>
    <x v="0"/>
    <x v="8"/>
    <x v="6"/>
    <n v="36"/>
    <n v="20.38"/>
    <n v="733.68"/>
    <s v="Neft"/>
    <s v="Pending"/>
    <s v="New Customer"/>
  </r>
  <r>
    <x v="149"/>
    <x v="2"/>
    <x v="2"/>
    <x v="11"/>
    <x v="1"/>
    <n v="92"/>
    <n v="26.18"/>
    <n v="2408.56"/>
    <s v="Neft"/>
    <s v="Delivered"/>
    <s v="Bulk Order"/>
  </r>
  <r>
    <x v="149"/>
    <x v="4"/>
    <x v="2"/>
    <x v="7"/>
    <x v="0"/>
    <n v="66"/>
    <n v="79.16"/>
    <n v="5224.5599999999995"/>
    <s v="Cash"/>
    <s v="Pending"/>
    <s v="Urgent Delivery"/>
  </r>
  <r>
    <x v="150"/>
    <x v="7"/>
    <x v="3"/>
    <x v="11"/>
    <x v="1"/>
    <n v="171"/>
    <n v="26.46"/>
    <n v="4524.66"/>
    <s v="Cash"/>
    <s v="Cancelled"/>
    <s v="Return Item"/>
  </r>
  <r>
    <x v="150"/>
    <x v="6"/>
    <x v="4"/>
    <x v="4"/>
    <x v="3"/>
    <n v="103"/>
    <n v="13.42"/>
    <n v="1382.26"/>
    <s v="Credit"/>
    <s v="Pending"/>
    <m/>
  </r>
  <r>
    <x v="151"/>
    <x v="6"/>
    <x v="3"/>
    <x v="6"/>
    <x v="5"/>
    <n v="154"/>
    <n v="121.37"/>
    <n v="18690.98"/>
    <s v="Neft"/>
    <s v="Pending"/>
    <m/>
  </r>
  <r>
    <x v="151"/>
    <x v="6"/>
    <x v="0"/>
    <x v="12"/>
    <x v="6"/>
    <n v="192"/>
    <n v="30.21"/>
    <n v="5800.32"/>
    <s v="Upi"/>
    <s v="Cancelled"/>
    <m/>
  </r>
  <r>
    <x v="151"/>
    <x v="6"/>
    <x v="4"/>
    <x v="10"/>
    <x v="2"/>
    <n v="41"/>
    <n v="49.06"/>
    <n v="2011.46"/>
    <s v="Upi"/>
    <s v="Delivered"/>
    <s v="Return Item"/>
  </r>
  <r>
    <x v="151"/>
    <x v="6"/>
    <x v="1"/>
    <x v="8"/>
    <x v="6"/>
    <n v="34"/>
    <n v="18.95"/>
    <n v="644.29999999999995"/>
    <s v="Cash"/>
    <s v="Delivered"/>
    <m/>
  </r>
  <r>
    <x v="152"/>
    <x v="3"/>
    <x v="4"/>
    <x v="5"/>
    <x v="4"/>
    <n v="72"/>
    <n v="53.94"/>
    <n v="3883.68"/>
    <s v="Credit"/>
    <s v="Cancelled"/>
    <m/>
  </r>
  <r>
    <x v="152"/>
    <x v="4"/>
    <x v="4"/>
    <x v="10"/>
    <x v="2"/>
    <n v="105"/>
    <n v="44.51"/>
    <n v="4673.55"/>
    <s v="Cash"/>
    <s v="Pending"/>
    <m/>
  </r>
  <r>
    <x v="152"/>
    <x v="4"/>
    <x v="1"/>
    <x v="1"/>
    <x v="1"/>
    <n v="149"/>
    <n v="9.8000000000000007"/>
    <n v="1460.2"/>
    <s v="Neft"/>
    <s v="Delivered"/>
    <m/>
  </r>
  <r>
    <x v="153"/>
    <x v="7"/>
    <x v="2"/>
    <x v="5"/>
    <x v="4"/>
    <n v="80"/>
    <n v="51.83"/>
    <n v="4146.3999999999996"/>
    <s v="Cash"/>
    <s v="Cancelled"/>
    <m/>
  </r>
  <r>
    <x v="153"/>
    <x v="4"/>
    <x v="4"/>
    <x v="2"/>
    <x v="2"/>
    <n v="170"/>
    <n v="54.47"/>
    <n v="9259.9"/>
    <s v="Credit"/>
    <s v="Delivered"/>
    <m/>
  </r>
  <r>
    <x v="153"/>
    <x v="1"/>
    <x v="0"/>
    <x v="13"/>
    <x v="5"/>
    <n v="198"/>
    <n v="114.19"/>
    <n v="22609.62"/>
    <s v="Neft"/>
    <s v="Delivered"/>
    <m/>
  </r>
  <r>
    <x v="153"/>
    <x v="3"/>
    <x v="1"/>
    <x v="9"/>
    <x v="5"/>
    <n v="89"/>
    <n v="117.41"/>
    <n v="10449.49"/>
    <s v="Upi"/>
    <s v="Delivered"/>
    <m/>
  </r>
  <r>
    <x v="154"/>
    <x v="0"/>
    <x v="1"/>
    <x v="10"/>
    <x v="2"/>
    <n v="36"/>
    <n v="48.12"/>
    <n v="1732.32"/>
    <s v="Cheque"/>
    <s v="Delivered"/>
    <m/>
  </r>
  <r>
    <x v="154"/>
    <x v="4"/>
    <x v="0"/>
    <x v="4"/>
    <x v="3"/>
    <n v="185"/>
    <n v="13.9"/>
    <n v="2571.5"/>
    <s v="Upi"/>
    <s v="Pending"/>
    <m/>
  </r>
  <r>
    <x v="154"/>
    <x v="1"/>
    <x v="3"/>
    <x v="7"/>
    <x v="0"/>
    <n v="107"/>
    <n v="84.26"/>
    <n v="9015.82"/>
    <s v="Cash"/>
    <s v="Delivered"/>
    <m/>
  </r>
  <r>
    <x v="154"/>
    <x v="4"/>
    <x v="2"/>
    <x v="5"/>
    <x v="4"/>
    <n v="157"/>
    <n v="57.47"/>
    <n v="9022.7899999999991"/>
    <s v="Neft"/>
    <s v="Pending"/>
    <m/>
  </r>
  <r>
    <x v="155"/>
    <x v="1"/>
    <x v="4"/>
    <x v="7"/>
    <x v="0"/>
    <n v="14"/>
    <n v="80.650000000000006"/>
    <n v="1129.1000000000001"/>
    <s v="Cash"/>
    <s v="Pending"/>
    <m/>
  </r>
  <r>
    <x v="155"/>
    <x v="6"/>
    <x v="4"/>
    <x v="11"/>
    <x v="1"/>
    <n v="183"/>
    <n v="26.87"/>
    <n v="4917.21"/>
    <s v="Neft"/>
    <s v="Delivered"/>
    <s v="Follow Up Needed"/>
  </r>
  <r>
    <x v="155"/>
    <x v="2"/>
    <x v="3"/>
    <x v="3"/>
    <x v="3"/>
    <n v="176"/>
    <n v="11.08"/>
    <n v="1950.08"/>
    <s v="Neft"/>
    <s v="Delivered"/>
    <m/>
  </r>
  <r>
    <x v="155"/>
    <x v="1"/>
    <x v="3"/>
    <x v="10"/>
    <x v="2"/>
    <n v="188"/>
    <n v="49.26"/>
    <n v="9260.8799999999992"/>
    <s v="Credit"/>
    <s v="Delivered"/>
    <s v="New Customer"/>
  </r>
  <r>
    <x v="155"/>
    <x v="7"/>
    <x v="1"/>
    <x v="8"/>
    <x v="6"/>
    <n v="45"/>
    <n v="19.03"/>
    <n v="856.35"/>
    <s v="Neft"/>
    <s v="Delivered"/>
    <m/>
  </r>
  <r>
    <x v="155"/>
    <x v="3"/>
    <x v="0"/>
    <x v="6"/>
    <x v="5"/>
    <n v="170"/>
    <n v="137.6"/>
    <n v="23392"/>
    <s v="Upi"/>
    <s v="Pending"/>
    <s v="Follow Up Needed"/>
  </r>
  <r>
    <x v="155"/>
    <x v="2"/>
    <x v="3"/>
    <x v="10"/>
    <x v="2"/>
    <n v="20"/>
    <n v="49.23"/>
    <n v="984.59999999999991"/>
    <s v="Cheque"/>
    <s v="Delivered"/>
    <m/>
  </r>
  <r>
    <x v="155"/>
    <x v="5"/>
    <x v="0"/>
    <x v="1"/>
    <x v="1"/>
    <n v="97"/>
    <n v="10.46"/>
    <n v="1014.6200000000001"/>
    <s v="Neft"/>
    <s v="Cancelled"/>
    <s v="New Customer"/>
  </r>
  <r>
    <x v="155"/>
    <x v="6"/>
    <x v="2"/>
    <x v="5"/>
    <x v="4"/>
    <n v="181"/>
    <n v="55.46"/>
    <n v="10038.26"/>
    <s v="Credit"/>
    <s v="Delivered"/>
    <s v="Follow Up Needed"/>
  </r>
  <r>
    <x v="156"/>
    <x v="3"/>
    <x v="2"/>
    <x v="6"/>
    <x v="5"/>
    <n v="188"/>
    <n v="140.02000000000001"/>
    <n v="26323.760000000002"/>
    <s v="Credit"/>
    <s v="Cancelled"/>
    <s v="Urgent Delivery"/>
  </r>
  <r>
    <x v="157"/>
    <x v="6"/>
    <x v="4"/>
    <x v="3"/>
    <x v="3"/>
    <n v="179"/>
    <n v="12.73"/>
    <n v="2278.67"/>
    <s v="Upi"/>
    <s v="Cancelled"/>
    <m/>
  </r>
  <r>
    <x v="157"/>
    <x v="1"/>
    <x v="3"/>
    <x v="1"/>
    <x v="1"/>
    <n v="191"/>
    <n v="9.6999999999999993"/>
    <n v="1852.6999999999998"/>
    <s v="Cash"/>
    <s v="Delivered"/>
    <s v="Follow Up Needed"/>
  </r>
  <r>
    <x v="157"/>
    <x v="0"/>
    <x v="0"/>
    <x v="11"/>
    <x v="1"/>
    <n v="61"/>
    <n v="24.15"/>
    <n v="1473.1499999999999"/>
    <s v="Cash"/>
    <s v="Cancelled"/>
    <s v="Follow Up Needed"/>
  </r>
  <r>
    <x v="157"/>
    <x v="5"/>
    <x v="1"/>
    <x v="9"/>
    <x v="5"/>
    <n v="105"/>
    <n v="112.62"/>
    <n v="11825.1"/>
    <s v="Cash"/>
    <s v="Delivered"/>
    <m/>
  </r>
  <r>
    <x v="158"/>
    <x v="0"/>
    <x v="4"/>
    <x v="6"/>
    <x v="5"/>
    <n v="77"/>
    <n v="132.22"/>
    <n v="10180.94"/>
    <s v="Cheque"/>
    <s v="Delivered"/>
    <s v="Bulk Order"/>
  </r>
  <r>
    <x v="158"/>
    <x v="2"/>
    <x v="0"/>
    <x v="7"/>
    <x v="0"/>
    <n v="81"/>
    <n v="91.35"/>
    <n v="7399.3499999999995"/>
    <s v="Cash"/>
    <s v="Pending"/>
    <s v="Bulk Order"/>
  </r>
  <r>
    <x v="158"/>
    <x v="4"/>
    <x v="3"/>
    <x v="10"/>
    <x v="2"/>
    <n v="165"/>
    <n v="49.9"/>
    <n v="8233.5"/>
    <s v="Credit"/>
    <s v="Cancelled"/>
    <m/>
  </r>
  <r>
    <x v="158"/>
    <x v="4"/>
    <x v="3"/>
    <x v="5"/>
    <x v="4"/>
    <n v="185"/>
    <n v="54.59"/>
    <n v="10099.150000000001"/>
    <s v="Neft"/>
    <s v="Pending"/>
    <s v="Follow Up Needed"/>
  </r>
  <r>
    <x v="158"/>
    <x v="4"/>
    <x v="2"/>
    <x v="1"/>
    <x v="1"/>
    <n v="89"/>
    <n v="9.5399999999999991"/>
    <n v="849.06"/>
    <s v="Upi"/>
    <s v="Cancelled"/>
    <m/>
  </r>
  <r>
    <x v="158"/>
    <x v="3"/>
    <x v="2"/>
    <x v="5"/>
    <x v="4"/>
    <n v="57"/>
    <n v="54.71"/>
    <n v="3118.4700000000003"/>
    <s v="Upi"/>
    <s v="Delivered"/>
    <s v="Bulk Order"/>
  </r>
  <r>
    <x v="159"/>
    <x v="5"/>
    <x v="0"/>
    <x v="10"/>
    <x v="2"/>
    <n v="145"/>
    <n v="51.81"/>
    <n v="7512.4500000000007"/>
    <s v="Credit"/>
    <s v="Pending"/>
    <m/>
  </r>
  <r>
    <x v="159"/>
    <x v="7"/>
    <x v="3"/>
    <x v="4"/>
    <x v="3"/>
    <n v="54"/>
    <n v="13.23"/>
    <n v="714.42000000000007"/>
    <s v="Cheque"/>
    <s v="Pending"/>
    <s v="New Customer"/>
  </r>
  <r>
    <x v="159"/>
    <x v="3"/>
    <x v="0"/>
    <x v="13"/>
    <x v="5"/>
    <n v="42"/>
    <n v="121.73"/>
    <n v="5112.66"/>
    <s v="Credit"/>
    <s v="Pending"/>
    <m/>
  </r>
  <r>
    <x v="159"/>
    <x v="1"/>
    <x v="4"/>
    <x v="12"/>
    <x v="6"/>
    <n v="14"/>
    <n v="27.92"/>
    <n v="390.88"/>
    <s v="Credit"/>
    <s v="Delivered"/>
    <s v="Urgent Delivery"/>
  </r>
  <r>
    <x v="159"/>
    <x v="0"/>
    <x v="0"/>
    <x v="4"/>
    <x v="3"/>
    <n v="85"/>
    <n v="13.98"/>
    <n v="1188.3"/>
    <s v="Cheque"/>
    <s v="Cancelled"/>
    <m/>
  </r>
  <r>
    <x v="159"/>
    <x v="2"/>
    <x v="4"/>
    <x v="13"/>
    <x v="5"/>
    <n v="144"/>
    <n v="113.87"/>
    <n v="16397.28"/>
    <s v="Upi"/>
    <s v="Pending"/>
    <m/>
  </r>
  <r>
    <x v="160"/>
    <x v="5"/>
    <x v="2"/>
    <x v="10"/>
    <x v="2"/>
    <n v="148"/>
    <n v="46.46"/>
    <n v="6876.08"/>
    <s v="Credit"/>
    <s v="Delivered"/>
    <m/>
  </r>
  <r>
    <x v="160"/>
    <x v="3"/>
    <x v="0"/>
    <x v="3"/>
    <x v="3"/>
    <n v="197"/>
    <n v="11.28"/>
    <n v="2222.16"/>
    <s v="Credit"/>
    <s v="Cancelled"/>
    <m/>
  </r>
  <r>
    <x v="161"/>
    <x v="2"/>
    <x v="3"/>
    <x v="13"/>
    <x v="5"/>
    <n v="35"/>
    <n v="124.17"/>
    <n v="4345.95"/>
    <s v="Cheque"/>
    <s v="Delivered"/>
    <m/>
  </r>
  <r>
    <x v="162"/>
    <x v="2"/>
    <x v="0"/>
    <x v="13"/>
    <x v="5"/>
    <n v="168"/>
    <n v="121.18"/>
    <n v="20358.240000000002"/>
    <s v="Cheque"/>
    <s v="Delivered"/>
    <s v="New Customer"/>
  </r>
  <r>
    <x v="163"/>
    <x v="1"/>
    <x v="1"/>
    <x v="3"/>
    <x v="3"/>
    <n v="195"/>
    <n v="12.89"/>
    <n v="2513.5500000000002"/>
    <s v="Upi"/>
    <s v="Delivered"/>
    <s v="Bulk Order"/>
  </r>
  <r>
    <x v="164"/>
    <x v="7"/>
    <x v="4"/>
    <x v="12"/>
    <x v="6"/>
    <n v="78"/>
    <n v="29.23"/>
    <n v="2279.94"/>
    <s v="Neft"/>
    <s v="Delivered"/>
    <s v="New Customer"/>
  </r>
  <r>
    <x v="164"/>
    <x v="7"/>
    <x v="4"/>
    <x v="2"/>
    <x v="2"/>
    <n v="145"/>
    <n v="51.29"/>
    <n v="7437.05"/>
    <s v="Credit"/>
    <s v="Pending"/>
    <s v="Follow Up Needed"/>
  </r>
  <r>
    <x v="164"/>
    <x v="5"/>
    <x v="2"/>
    <x v="4"/>
    <x v="3"/>
    <n v="100"/>
    <n v="14.83"/>
    <n v="1483"/>
    <s v="Cheque"/>
    <s v="Delivered"/>
    <m/>
  </r>
  <r>
    <x v="164"/>
    <x v="4"/>
    <x v="3"/>
    <x v="8"/>
    <x v="6"/>
    <n v="25"/>
    <n v="19.34"/>
    <n v="483.5"/>
    <s v="Credit"/>
    <s v="Cancelled"/>
    <s v="Follow Up Needed"/>
  </r>
  <r>
    <x v="164"/>
    <x v="2"/>
    <x v="0"/>
    <x v="5"/>
    <x v="4"/>
    <n v="61"/>
    <n v="52.73"/>
    <n v="3216.5299999999997"/>
    <s v="Cash"/>
    <s v="Delivered"/>
    <m/>
  </r>
  <r>
    <x v="164"/>
    <x v="5"/>
    <x v="1"/>
    <x v="1"/>
    <x v="1"/>
    <n v="183"/>
    <n v="10.71"/>
    <n v="1959.93"/>
    <s v="Cheque"/>
    <s v="Delivered"/>
    <s v="Follow Up Needed"/>
  </r>
  <r>
    <x v="164"/>
    <x v="7"/>
    <x v="0"/>
    <x v="7"/>
    <x v="0"/>
    <n v="161"/>
    <n v="79.64"/>
    <n v="12822.04"/>
    <s v="Upi"/>
    <s v="Pending"/>
    <s v="Urgent Delivery"/>
  </r>
  <r>
    <x v="165"/>
    <x v="3"/>
    <x v="2"/>
    <x v="2"/>
    <x v="2"/>
    <n v="193"/>
    <n v="51.37"/>
    <n v="9914.41"/>
    <s v="Cheque"/>
    <s v="Cancelled"/>
    <s v="New Customer"/>
  </r>
  <r>
    <x v="165"/>
    <x v="1"/>
    <x v="3"/>
    <x v="1"/>
    <x v="1"/>
    <n v="34"/>
    <n v="10.64"/>
    <n v="361.76"/>
    <s v="Credit"/>
    <s v="Cancelled"/>
    <s v="Urgent Delivery"/>
  </r>
  <r>
    <x v="165"/>
    <x v="7"/>
    <x v="2"/>
    <x v="11"/>
    <x v="1"/>
    <n v="115"/>
    <n v="24.39"/>
    <n v="2804.85"/>
    <s v="Neft"/>
    <s v="Delivered"/>
    <s v="Bulk Order"/>
  </r>
  <r>
    <x v="166"/>
    <x v="3"/>
    <x v="0"/>
    <x v="12"/>
    <x v="6"/>
    <n v="47"/>
    <n v="30.31"/>
    <n v="1424.57"/>
    <s v="Credit"/>
    <s v="Pending"/>
    <s v="Bulk Order"/>
  </r>
  <r>
    <x v="167"/>
    <x v="3"/>
    <x v="0"/>
    <x v="13"/>
    <x v="5"/>
    <n v="115"/>
    <n v="124.22"/>
    <n v="14285.3"/>
    <s v="Credit"/>
    <s v="Pending"/>
    <s v="Urgent Delivery"/>
  </r>
  <r>
    <x v="167"/>
    <x v="2"/>
    <x v="2"/>
    <x v="11"/>
    <x v="1"/>
    <n v="40"/>
    <n v="23.64"/>
    <n v="945.6"/>
    <s v="Upi"/>
    <s v="Delivered"/>
    <s v="New Customer"/>
  </r>
  <r>
    <x v="167"/>
    <x v="7"/>
    <x v="1"/>
    <x v="10"/>
    <x v="2"/>
    <n v="197"/>
    <n v="50.65"/>
    <n v="9978.0499999999993"/>
    <s v="Credit"/>
    <s v="Deliverd"/>
    <s v="Bulk Order"/>
  </r>
  <r>
    <x v="168"/>
    <x v="1"/>
    <x v="1"/>
    <x v="3"/>
    <x v="3"/>
    <n v="49"/>
    <n v="12.51"/>
    <n v="612.99"/>
    <s v="Cheque"/>
    <s v="Delivered"/>
    <m/>
  </r>
  <r>
    <x v="168"/>
    <x v="0"/>
    <x v="3"/>
    <x v="12"/>
    <x v="6"/>
    <n v="44"/>
    <n v="31.33"/>
    <n v="1378.52"/>
    <s v="Upi"/>
    <s v="Delivered"/>
    <s v="Bulk Order"/>
  </r>
  <r>
    <x v="168"/>
    <x v="1"/>
    <x v="3"/>
    <x v="13"/>
    <x v="5"/>
    <n v="72"/>
    <n v="118.74"/>
    <n v="8549.2799999999988"/>
    <s v="Cash"/>
    <s v="Delivered"/>
    <m/>
  </r>
  <r>
    <x v="169"/>
    <x v="5"/>
    <x v="1"/>
    <x v="2"/>
    <x v="2"/>
    <n v="79"/>
    <n v="58.9"/>
    <n v="4653.0999999999995"/>
    <s v="Upi"/>
    <s v="Delivered"/>
    <s v="Urgent Delivery"/>
  </r>
  <r>
    <x v="169"/>
    <x v="1"/>
    <x v="1"/>
    <x v="5"/>
    <x v="4"/>
    <n v="107"/>
    <n v="54.43"/>
    <n v="5824.01"/>
    <s v="Cheque"/>
    <s v="Delivered"/>
    <s v="Bulk Order"/>
  </r>
  <r>
    <x v="169"/>
    <x v="7"/>
    <x v="1"/>
    <x v="10"/>
    <x v="2"/>
    <n v="118"/>
    <n v="46.05"/>
    <n v="5433.9"/>
    <s v="Cash"/>
    <s v="Delivered"/>
    <s v="New Customer"/>
  </r>
  <r>
    <x v="168"/>
    <x v="4"/>
    <x v="4"/>
    <x v="12"/>
    <x v="6"/>
    <n v="40"/>
    <n v="30.32"/>
    <n v="1212.8"/>
    <s v="Cheque"/>
    <s v="Delivered"/>
    <m/>
  </r>
  <r>
    <x v="170"/>
    <x v="5"/>
    <x v="3"/>
    <x v="3"/>
    <x v="3"/>
    <n v="13"/>
    <n v="11.28"/>
    <n v="146.63999999999999"/>
    <s v="Cash"/>
    <s v="Deliverd"/>
    <s v="Urgent Delivery"/>
  </r>
  <r>
    <x v="70"/>
    <x v="7"/>
    <x v="4"/>
    <x v="12"/>
    <x v="6"/>
    <n v="148"/>
    <n v="31.84"/>
    <n v="4712.32"/>
    <s v="Credit"/>
    <s v="Cancelled"/>
    <m/>
  </r>
  <r>
    <x v="127"/>
    <x v="6"/>
    <x v="4"/>
    <x v="1"/>
    <x v="1"/>
    <n v="71"/>
    <n v="9.67"/>
    <n v="686.57"/>
    <s v="Neft"/>
    <s v="Cancelled"/>
    <m/>
  </r>
  <r>
    <x v="86"/>
    <x v="7"/>
    <x v="4"/>
    <x v="10"/>
    <x v="2"/>
    <n v="139"/>
    <n v="48.06"/>
    <n v="6680.34"/>
    <s v="Cash"/>
    <s v="Delivered"/>
    <s v="New Customer"/>
  </r>
  <r>
    <x v="35"/>
    <x v="5"/>
    <x v="0"/>
    <x v="7"/>
    <x v="0"/>
    <n v="176"/>
    <n v="91.26"/>
    <n v="16061.76"/>
    <s v="Upi"/>
    <s v="Cancelled"/>
    <s v="New Customer"/>
  </r>
  <r>
    <x v="132"/>
    <x v="5"/>
    <x v="3"/>
    <x v="4"/>
    <x v="3"/>
    <n v="164"/>
    <n v="14"/>
    <n v="2296"/>
    <s v="Neft"/>
    <s v="Delivered"/>
    <m/>
  </r>
  <r>
    <x v="22"/>
    <x v="3"/>
    <x v="0"/>
    <x v="2"/>
    <x v="2"/>
    <n v="152"/>
    <n v="54.19"/>
    <n v="8236.8799999999992"/>
    <s v="Cash"/>
    <s v="Delivered"/>
    <s v="Return Item"/>
  </r>
  <r>
    <x v="171"/>
    <x v="0"/>
    <x v="2"/>
    <x v="6"/>
    <x v="5"/>
    <n v="161"/>
    <n v="133.74"/>
    <n v="21532.140000000003"/>
    <s v="Cheque"/>
    <s v="Delivered"/>
    <m/>
  </r>
  <r>
    <x v="78"/>
    <x v="3"/>
    <x v="2"/>
    <x v="5"/>
    <x v="4"/>
    <n v="73"/>
    <n v="54.09"/>
    <n v="3948.57"/>
    <s v="Neft"/>
    <s v="Delivered"/>
    <s v="Urgent Delivery"/>
  </r>
  <r>
    <x v="130"/>
    <x v="2"/>
    <x v="2"/>
    <x v="2"/>
    <x v="2"/>
    <n v="36"/>
    <n v="51.83"/>
    <n v="1865.8799999999999"/>
    <s v="Cash"/>
    <s v="Delivered"/>
    <s v="Bulk Order"/>
  </r>
  <r>
    <x v="172"/>
    <x v="1"/>
    <x v="4"/>
    <x v="7"/>
    <x v="0"/>
    <n v="80"/>
    <n v="90.67"/>
    <n v="7253.6"/>
    <s v="Credit"/>
    <s v="Cancelled"/>
    <s v="Return Item"/>
  </r>
  <r>
    <x v="44"/>
    <x v="4"/>
    <x v="0"/>
    <x v="6"/>
    <x v="5"/>
    <n v="168"/>
    <n v="134.03"/>
    <n v="22517.040000000001"/>
    <s v="Upi"/>
    <s v="Delivered"/>
    <s v="Urgent Delivery"/>
  </r>
  <r>
    <x v="139"/>
    <x v="1"/>
    <x v="4"/>
    <x v="3"/>
    <x v="3"/>
    <n v="118"/>
    <n v="12.04"/>
    <n v="1420.7199999999998"/>
    <s v="Upi"/>
    <s v="Delivered"/>
    <m/>
  </r>
  <r>
    <x v="65"/>
    <x v="1"/>
    <x v="1"/>
    <x v="11"/>
    <x v="1"/>
    <n v="111"/>
    <n v="23.8"/>
    <n v="2641.8"/>
    <s v="Neft"/>
    <s v="Delivered"/>
    <s v="Follow Up Needed"/>
  </r>
  <r>
    <x v="173"/>
    <x v="4"/>
    <x v="0"/>
    <x v="11"/>
    <x v="1"/>
    <n v="42"/>
    <n v="26.35"/>
    <n v="1106.7"/>
    <s v="Upi"/>
    <s v="Delivered"/>
    <s v="Follow Up Needed"/>
  </r>
  <r>
    <x v="169"/>
    <x v="0"/>
    <x v="3"/>
    <x v="7"/>
    <x v="0"/>
    <n v="14"/>
    <n v="91.39"/>
    <n v="1279.46"/>
    <s v="Credit"/>
    <s v="Delivered"/>
    <m/>
  </r>
  <r>
    <x v="9"/>
    <x v="0"/>
    <x v="0"/>
    <x v="5"/>
    <x v="4"/>
    <n v="143"/>
    <n v="53.34"/>
    <n v="7627.6200000000008"/>
    <s v="Neft"/>
    <s v="Delivered"/>
    <m/>
  </r>
  <r>
    <x v="68"/>
    <x v="0"/>
    <x v="0"/>
    <x v="11"/>
    <x v="1"/>
    <n v="90"/>
    <n v="25.73"/>
    <n v="2315.6999999999998"/>
    <s v="Upi"/>
    <s v="Delivered"/>
    <s v="New Customer"/>
  </r>
  <r>
    <x v="109"/>
    <x v="3"/>
    <x v="0"/>
    <x v="6"/>
    <x v="5"/>
    <n v="104"/>
    <n v="134.24"/>
    <n v="13960.960000000001"/>
    <s v="Upi"/>
    <s v="Pending"/>
    <m/>
  </r>
  <r>
    <x v="72"/>
    <x v="4"/>
    <x v="0"/>
    <x v="10"/>
    <x v="2"/>
    <n v="199"/>
    <n v="44.37"/>
    <n v="8829.6299999999992"/>
    <s v="Cheque"/>
    <s v="Pending"/>
    <s v="New Customer"/>
  </r>
  <r>
    <x v="166"/>
    <x v="7"/>
    <x v="0"/>
    <x v="2"/>
    <x v="2"/>
    <n v="29"/>
    <n v="51.75"/>
    <n v="1500.75"/>
    <s v="Upi"/>
    <s v="Delivered"/>
    <s v="Follow Up Needed"/>
  </r>
  <r>
    <x v="114"/>
    <x v="1"/>
    <x v="0"/>
    <x v="11"/>
    <x v="1"/>
    <n v="19"/>
    <n v="24.09"/>
    <n v="457.71"/>
    <s v="Cheque"/>
    <s v="Delivered"/>
    <m/>
  </r>
  <r>
    <x v="84"/>
    <x v="1"/>
    <x v="4"/>
    <x v="5"/>
    <x v="4"/>
    <n v="150"/>
    <n v="54.59"/>
    <n v="8188.5000000000009"/>
    <s v="Cash"/>
    <s v="Cancell"/>
    <m/>
  </r>
  <r>
    <x v="5"/>
    <x v="2"/>
    <x v="2"/>
    <x v="2"/>
    <x v="2"/>
    <n v="60"/>
    <n v="58.1"/>
    <n v="3486"/>
    <s v="Credit"/>
    <s v="Cancelled"/>
    <s v="Bulk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1EEB30-F6F9-4B23-B6C2-AD4DA9C4D224}" name="PT_Monthly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1:K18" firstHeaderRow="1" firstDataRow="1" firstDataCol="1"/>
  <pivotFields count="12">
    <pivotField numFmtId="14"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71"/>
        <item x="52"/>
        <item x="53"/>
        <item x="54"/>
        <item x="170"/>
        <item x="55"/>
        <item x="56"/>
        <item x="57"/>
        <item x="58"/>
        <item x="173"/>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7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items count="9">
        <item x="7"/>
        <item x="4"/>
        <item x="0"/>
        <item x="5"/>
        <item x="3"/>
        <item x="6"/>
        <item x="2"/>
        <item x="1"/>
        <item t="default"/>
      </items>
    </pivotField>
    <pivotField showAll="0">
      <items count="6">
        <item x="4"/>
        <item x="1"/>
        <item x="2"/>
        <item x="3"/>
        <item x="0"/>
        <item t="default"/>
      </items>
    </pivotField>
    <pivotField showAll="0"/>
    <pivotField showAll="0">
      <items count="8">
        <item x="6"/>
        <item x="1"/>
        <item x="4"/>
        <item x="5"/>
        <item x="0"/>
        <item x="3"/>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7">
    <i>
      <x v="1"/>
    </i>
    <i>
      <x v="2"/>
    </i>
    <i>
      <x v="3"/>
    </i>
    <i>
      <x v="4"/>
    </i>
    <i>
      <x v="5"/>
    </i>
    <i>
      <x v="6"/>
    </i>
    <i t="grand">
      <x/>
    </i>
  </rowItems>
  <colItems count="1">
    <i/>
  </colItems>
  <dataFields count="1">
    <dataField name="Sum of Total_Sales" fld="7" baseField="0" baseItem="0" numFmtId="165"/>
  </dataFields>
  <formats count="2">
    <format dxfId="14">
      <pivotArea outline="0" collapsedLevelsAreSubtotals="1" fieldPosition="0"/>
    </format>
    <format dxfId="13">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0756E-D246-4D05-A131-80E7419FB20F}" name="P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_name">
  <location ref="J3:K9" firstHeaderRow="1" firstDataRow="1" firstDataCol="1"/>
  <pivotFields count="12">
    <pivotField numFmtId="14"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71"/>
        <item x="52"/>
        <item x="53"/>
        <item x="54"/>
        <item x="170"/>
        <item x="55"/>
        <item x="56"/>
        <item x="57"/>
        <item x="58"/>
        <item x="173"/>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7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items count="9">
        <item x="7"/>
        <item x="4"/>
        <item x="0"/>
        <item x="5"/>
        <item x="3"/>
        <item x="6"/>
        <item x="2"/>
        <item x="1"/>
        <item t="default"/>
      </items>
    </pivotField>
    <pivotField axis="axisRow" showAll="0">
      <items count="6">
        <item x="4"/>
        <item x="1"/>
        <item x="2"/>
        <item x="3"/>
        <item x="0"/>
        <item t="default"/>
      </items>
    </pivotField>
    <pivotField showAll="0"/>
    <pivotField showAll="0">
      <items count="8">
        <item x="6"/>
        <item x="1"/>
        <item x="4"/>
        <item x="5"/>
        <item x="0"/>
        <item x="3"/>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ales_Total" fld="7" baseField="2" baseItem="0" numFmtId="167"/>
  </dataFields>
  <formats count="4">
    <format dxfId="18">
      <pivotArea collapsedLevelsAreSubtotals="1" fieldPosition="0">
        <references count="1">
          <reference field="2" count="1">
            <x v="0"/>
          </reference>
        </references>
      </pivotArea>
    </format>
    <format dxfId="17">
      <pivotArea outline="0" collapsedLevelsAreSubtotals="1" fieldPosition="0"/>
    </format>
    <format dxfId="16">
      <pivotArea dataOnly="0" labelOnly="1" outline="0" axis="axisValues" fieldPosition="0"/>
    </format>
    <format dxfId="15">
      <pivotArea outline="0" fieldPosition="0">
        <references count="1">
          <reference field="4294967294" count="1">
            <x v="0"/>
          </reference>
        </references>
      </pivotArea>
    </format>
  </format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2"/>
          </reference>
        </references>
      </pivotArea>
    </chartFormat>
    <chartFormat chart="6" format="6">
      <pivotArea type="data" outline="0" fieldPosition="0">
        <references count="2">
          <reference field="4294967294" count="1" selected="0">
            <x v="0"/>
          </reference>
          <reference field="2" count="1" selected="0">
            <x v="3"/>
          </reference>
        </references>
      </pivotArea>
    </chartFormat>
    <chartFormat chart="6"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7E11F-A81B-4610-9E55-27AFC1A2E549}" name="PT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30" firstHeaderRow="1" firstDataRow="1" firstDataCol="1"/>
  <pivotFields count="12">
    <pivotField numFmtId="14"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71"/>
        <item x="52"/>
        <item x="53"/>
        <item x="54"/>
        <item x="170"/>
        <item x="55"/>
        <item x="56"/>
        <item x="57"/>
        <item x="58"/>
        <item x="173"/>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7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items count="9">
        <item x="7"/>
        <item x="4"/>
        <item x="0"/>
        <item x="5"/>
        <item x="3"/>
        <item x="6"/>
        <item x="2"/>
        <item x="1"/>
        <item t="default"/>
      </items>
    </pivotField>
    <pivotField showAll="0">
      <items count="6">
        <item x="4"/>
        <item x="1"/>
        <item x="2"/>
        <item x="3"/>
        <item x="0"/>
        <item t="default"/>
      </items>
    </pivotField>
    <pivotField axis="axisRow" showAll="0">
      <items count="15">
        <item x="5"/>
        <item x="6"/>
        <item x="8"/>
        <item x="11"/>
        <item x="2"/>
        <item x="7"/>
        <item x="0"/>
        <item x="4"/>
        <item x="12"/>
        <item x="1"/>
        <item x="10"/>
        <item x="13"/>
        <item x="9"/>
        <item x="3"/>
        <item t="default"/>
      </items>
    </pivotField>
    <pivotField showAll="0">
      <items count="8">
        <item x="6"/>
        <item x="1"/>
        <item x="4"/>
        <item x="5"/>
        <item x="0"/>
        <item x="3"/>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15">
    <i>
      <x/>
    </i>
    <i>
      <x v="1"/>
    </i>
    <i>
      <x v="2"/>
    </i>
    <i>
      <x v="3"/>
    </i>
    <i>
      <x v="4"/>
    </i>
    <i>
      <x v="5"/>
    </i>
    <i>
      <x v="6"/>
    </i>
    <i>
      <x v="7"/>
    </i>
    <i>
      <x v="8"/>
    </i>
    <i>
      <x v="9"/>
    </i>
    <i>
      <x v="10"/>
    </i>
    <i>
      <x v="11"/>
    </i>
    <i>
      <x v="12"/>
    </i>
    <i>
      <x v="13"/>
    </i>
    <i t="grand">
      <x/>
    </i>
  </rowItems>
  <colItems count="1">
    <i/>
  </colItems>
  <dataFields count="1">
    <dataField name="Sales_Total" fld="7"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74B93-D8EA-4244-B26C-15839E78F476}" name="PT_Sales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man_Name">
  <location ref="A4:B13" firstHeaderRow="1" firstDataRow="1" firstDataCol="1"/>
  <pivotFields count="12">
    <pivotField numFmtId="14"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71"/>
        <item x="52"/>
        <item x="53"/>
        <item x="54"/>
        <item x="170"/>
        <item x="55"/>
        <item x="56"/>
        <item x="57"/>
        <item x="58"/>
        <item x="173"/>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7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axis="axisRow" showAll="0" sortType="ascending">
      <items count="9">
        <item x="7"/>
        <item x="4"/>
        <item x="0"/>
        <item x="5"/>
        <item x="3"/>
        <item x="6"/>
        <item x="2"/>
        <item x="1"/>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items count="8">
        <item x="6"/>
        <item x="1"/>
        <item x="4"/>
        <item x="5"/>
        <item x="0"/>
        <item x="3"/>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9">
    <i>
      <x v="3"/>
    </i>
    <i>
      <x v="5"/>
    </i>
    <i>
      <x v="6"/>
    </i>
    <i>
      <x v="1"/>
    </i>
    <i>
      <x v="7"/>
    </i>
    <i>
      <x/>
    </i>
    <i>
      <x v="2"/>
    </i>
    <i>
      <x v="4"/>
    </i>
    <i t="grand">
      <x/>
    </i>
  </rowItems>
  <colItems count="1">
    <i/>
  </colItems>
  <dataFields count="1">
    <dataField name="Sum of Total_Sales" fld="7" baseField="0" baseItem="0" numFmtId="165"/>
  </dataFields>
  <formats count="2">
    <format dxfId="20">
      <pivotArea outline="0" collapsedLevelsAreSubtotals="1" fieldPosition="0"/>
    </format>
    <format dxfId="19">
      <pivotArea dataOnly="0" labelOnly="1" outline="0" axis="axisValues" fieldPosition="0"/>
    </format>
  </formats>
  <chartFormats count="9">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3"/>
          </reference>
        </references>
      </pivotArea>
    </chartFormat>
    <chartFormat chart="14" format="4">
      <pivotArea type="data" outline="0" fieldPosition="0">
        <references count="2">
          <reference field="4294967294" count="1" selected="0">
            <x v="0"/>
          </reference>
          <reference field="1" count="1" selected="0">
            <x v="5"/>
          </reference>
        </references>
      </pivotArea>
    </chartFormat>
    <chartFormat chart="14" format="5">
      <pivotArea type="data" outline="0" fieldPosition="0">
        <references count="2">
          <reference field="4294967294" count="1" selected="0">
            <x v="0"/>
          </reference>
          <reference field="1" count="1" selected="0">
            <x v="6"/>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4" format="7">
      <pivotArea type="data" outline="0" fieldPosition="0">
        <references count="2">
          <reference field="4294967294" count="1" selected="0">
            <x v="0"/>
          </reference>
          <reference field="1" count="1" selected="0">
            <x v="7"/>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2"/>
          </reference>
        </references>
      </pivotArea>
    </chartFormat>
    <chartFormat chart="14" format="1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E5B90-8BBA-4896-B0EB-EC0793CE9968}" name="Category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3:E21" firstHeaderRow="1" firstDataRow="1" firstDataCol="1"/>
  <pivotFields count="12">
    <pivotField numFmtId="14"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71"/>
        <item x="52"/>
        <item x="53"/>
        <item x="54"/>
        <item x="170"/>
        <item x="55"/>
        <item x="56"/>
        <item x="57"/>
        <item x="58"/>
        <item x="173"/>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7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items count="9">
        <item x="7"/>
        <item x="4"/>
        <item x="0"/>
        <item x="5"/>
        <item x="3"/>
        <item x="6"/>
        <item x="2"/>
        <item x="1"/>
        <item t="default"/>
      </items>
    </pivotField>
    <pivotField showAll="0">
      <items count="6">
        <item x="4"/>
        <item x="1"/>
        <item x="2"/>
        <item x="3"/>
        <item x="0"/>
        <item t="default"/>
      </items>
    </pivotField>
    <pivotField showAll="0"/>
    <pivotField axis="axisRow" showAll="0">
      <items count="8">
        <item x="6"/>
        <item x="1"/>
        <item x="4"/>
        <item x="5"/>
        <item x="0"/>
        <item x="3"/>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Sum of Total_Sales" fld="7" baseField="0" baseItem="0" numFmtId="165"/>
  </dataFields>
  <formats count="1">
    <format dxfId="21">
      <pivotArea outline="0" collapsedLevelsAreSubtotals="1" fieldPosition="0"/>
    </format>
  </formats>
  <chartFormats count="8">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0"/>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2"/>
          </reference>
        </references>
      </pivotArea>
    </chartFormat>
    <chartFormat chart="12" format="13">
      <pivotArea type="data" outline="0" fieldPosition="0">
        <references count="2">
          <reference field="4294967294" count="1" selected="0">
            <x v="0"/>
          </reference>
          <reference field="4" count="1" selected="0">
            <x v="3"/>
          </reference>
        </references>
      </pivotArea>
    </chartFormat>
    <chartFormat chart="12" format="14">
      <pivotArea type="data" outline="0" fieldPosition="0">
        <references count="2">
          <reference field="4294967294" count="1" selected="0">
            <x v="0"/>
          </reference>
          <reference field="4" count="1" selected="0">
            <x v="4"/>
          </reference>
        </references>
      </pivotArea>
    </chartFormat>
    <chartFormat chart="12" format="15">
      <pivotArea type="data" outline="0" fieldPosition="0">
        <references count="2">
          <reference field="4294967294" count="1" selected="0">
            <x v="0"/>
          </reference>
          <reference field="4" count="1" selected="0">
            <x v="5"/>
          </reference>
        </references>
      </pivotArea>
    </chartFormat>
    <chartFormat chart="12"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1989A6-7CAF-4AB2-B01F-67AD3797118C}" autoFormatId="16" applyNumberFormats="0" applyBorderFormats="0" applyFontFormats="0" applyPatternFormats="0" applyAlignmentFormats="0" applyWidthHeightFormats="0">
  <queryTableRefresh nextId="12">
    <queryTableFields count="11">
      <queryTableField id="1" name="Date" tableColumnId="1"/>
      <queryTableField id="2" name="Salesman_Name" tableColumnId="2"/>
      <queryTableField id="3" name="Region" tableColumnId="3"/>
      <queryTableField id="4" name="Product" tableColumnId="4"/>
      <queryTableField id="5" name="Category" tableColumnId="5"/>
      <queryTableField id="6" name="Quantity" tableColumnId="6"/>
      <queryTableField id="7" name="Unit_Price" tableColumnId="7"/>
      <queryTableField id="8" name="Total_Sales" tableColumnId="8"/>
      <queryTableField id="9" name="Payment_Mode" tableColumnId="9"/>
      <queryTableField id="10" name="Status" tableColumnId="10"/>
      <queryTableField id="11" name="Remark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88040E-753A-4CF7-9AE7-620D7ED7972B}" sourceName="Category">
  <pivotTables>
    <pivotTable tabId="6" name="PT_Salesperson"/>
    <pivotTable tabId="6" name="Category_wise"/>
    <pivotTable tabId="6" name="PT_Monthly_Trend"/>
    <pivotTable tabId="6" name="PT_Product"/>
    <pivotTable tabId="6" name="PT_Region"/>
  </pivotTables>
  <data>
    <tabular pivotCacheId="787474657">
      <items count="7">
        <i x="6" s="1"/>
        <i x="1" s="1"/>
        <i x="4" s="1"/>
        <i x="5"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BBC83B-43C1-4182-9E0E-518ADF9AABA2}" sourceName="Region">
  <pivotTables>
    <pivotTable tabId="6" name="PT_Salesperson"/>
    <pivotTable tabId="6" name="Category_wise"/>
    <pivotTable tabId="6" name="PT_Monthly_Trend"/>
    <pivotTable tabId="6" name="PT_Product"/>
    <pivotTable tabId="6" name="PT_Region"/>
  </pivotTables>
  <data>
    <tabular pivotCacheId="787474657">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_Name" xr10:uid="{45940CFB-F34E-44D5-8936-9E6F8040CD25}" sourceName="Salesman_Name">
  <pivotTables>
    <pivotTable tabId="6" name="PT_Salesperson"/>
    <pivotTable tabId="6" name="Category_wise"/>
    <pivotTable tabId="6" name="PT_Monthly_Trend"/>
    <pivotTable tabId="6" name="PT_Product"/>
    <pivotTable tabId="6" name="PT_Region"/>
  </pivotTables>
  <data>
    <tabular pivotCacheId="787474657">
      <items count="8">
        <i x="7" s="1"/>
        <i x="4" s="1"/>
        <i x="0" s="1"/>
        <i x="5" s="1"/>
        <i x="3"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1F96739-DB8B-434C-AA08-5664A55EBED9}" cache="Slicer_Category" caption="Filter: Category" columnCount="2" style="Dark_MIS" rowHeight="324000"/>
  <slicer name="Region 2" xr10:uid="{D62369C7-01E1-4F0C-93CE-4B196784BB71}" cache="Slicer_Region" caption="Filter: Region" style="Dark_MIS" rowHeight="288000"/>
  <slicer name="Salesman_Name 2" xr10:uid="{957F9C0E-F655-48D3-837C-E2A1341F249B}" cache="Slicer_Salesman_Name" caption="Filter: Salesman" columnCount="2" style="Dark_MIS"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055BCD-6EA9-47DE-AFB3-53E160D1F513}" name="Table1" displayName="Table1" ref="A1:K551" totalsRowShown="0" headerRowDxfId="12" dataDxfId="11">
  <autoFilter ref="A1:K551" xr:uid="{3D055BCD-6EA9-47DE-AFB3-53E160D1F513}"/>
  <tableColumns count="11">
    <tableColumn id="1" xr3:uid="{658C0819-CFF8-402E-8E85-87E309776010}" name="Date" dataDxfId="10"/>
    <tableColumn id="2" xr3:uid="{45BEA339-B556-4A7F-8D95-370035615376}" name="Salesman_Name" dataDxfId="9"/>
    <tableColumn id="3" xr3:uid="{CDCFD748-0E4C-4C5E-B527-AF9E23B8F4F3}" name="Region" dataDxfId="8"/>
    <tableColumn id="4" xr3:uid="{CCF2456B-4F8F-4B2C-822A-BF257B9B8570}" name="Product" dataDxfId="7"/>
    <tableColumn id="5" xr3:uid="{3A87F23B-6DD7-49C1-ACD6-BC073F04185C}" name="Category" dataDxfId="6"/>
    <tableColumn id="6" xr3:uid="{B9B10EC6-CB62-4956-A8E8-738C9EBA1FE4}" name="Quantity" dataDxfId="5"/>
    <tableColumn id="7" xr3:uid="{D4B59328-64C6-466E-A31B-201D1F169744}" name="Unit_Price" dataDxfId="0"/>
    <tableColumn id="8" xr3:uid="{FA1B61D3-6D25-4169-9AE8-E6DE3757F024}" name="Total_Sales" dataDxfId="1"/>
    <tableColumn id="9" xr3:uid="{0058DE56-806D-473B-B133-2B8BE67F0F83}" name="Payment_Mode" dataDxfId="4"/>
    <tableColumn id="10" xr3:uid="{0706E09F-2776-4C16-9DF5-31B4DB5F1439}" name="Status" dataDxfId="3"/>
    <tableColumn id="11" xr3:uid="{85458AA8-3C92-4DB3-AD8C-81AF772B2EE6}" name="Remark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8E2EB4-2FF9-450E-8BC2-8C2F0DAB521E}" name="Clean_Sales" displayName="Clean_Sales" ref="A1:K528" tableType="queryTable" totalsRowShown="0">
  <autoFilter ref="A1:K528" xr:uid="{958E2EB4-2FF9-450E-8BC2-8C2F0DAB521E}"/>
  <tableColumns count="11">
    <tableColumn id="1" xr3:uid="{33B3DBEB-1D1F-4279-8D7C-55915FAF6857}" uniqueName="1" name="Date" queryTableFieldId="1" dataDxfId="29"/>
    <tableColumn id="2" xr3:uid="{8BC50303-CF03-4E86-8C13-5F3DCC0F1706}" uniqueName="2" name="Salesman_Name" queryTableFieldId="2" dataDxfId="28"/>
    <tableColumn id="3" xr3:uid="{AF8B5BF7-76DF-45CB-8844-F13323814738}" uniqueName="3" name="Region" queryTableFieldId="3" dataDxfId="27"/>
    <tableColumn id="4" xr3:uid="{EB8D3196-EB95-4701-B2A4-8C683121E5C2}" uniqueName="4" name="Product" queryTableFieldId="4" dataDxfId="26"/>
    <tableColumn id="5" xr3:uid="{9D741040-8C21-4C5D-8E98-0D61BBFB2D81}" uniqueName="5" name="Category" queryTableFieldId="5" dataDxfId="25"/>
    <tableColumn id="6" xr3:uid="{CEB83C1E-A504-4093-9EA9-1A5BC7B38E6E}" uniqueName="6" name="Quantity" queryTableFieldId="6"/>
    <tableColumn id="7" xr3:uid="{DCAECC6B-72BC-4903-916C-3D519BAA477B}" uniqueName="7" name="Unit_Price" queryTableFieldId="7"/>
    <tableColumn id="8" xr3:uid="{FECA3814-817B-4A3F-BFF0-9F5EE475E74E}" uniqueName="8" name="Total_Sales" queryTableFieldId="8"/>
    <tableColumn id="9" xr3:uid="{82A96A13-97C2-4F59-B123-9C2610CF25E3}" uniqueName="9" name="Payment_Mode" queryTableFieldId="9" dataDxfId="24"/>
    <tableColumn id="10" xr3:uid="{7C97E3C3-77EE-41E8-AC57-87E0C4DE0BAB}" uniqueName="10" name="Status" queryTableFieldId="10" dataDxfId="23"/>
    <tableColumn id="11" xr3:uid="{983165F9-2355-416D-83E7-CF400DF2146E}" uniqueName="11" name="Remarks" queryTableFieldId="11"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1"/>
  <sheetViews>
    <sheetView zoomScaleNormal="100" workbookViewId="0">
      <selection activeCell="L15" sqref="L15"/>
    </sheetView>
  </sheetViews>
  <sheetFormatPr defaultColWidth="8.6640625" defaultRowHeight="14.4" x14ac:dyDescent="0.3"/>
  <cols>
    <col min="1" max="1" width="14" customWidth="1"/>
    <col min="2" max="2" width="19.21875" customWidth="1"/>
    <col min="3" max="3" width="10" customWidth="1"/>
    <col min="4" max="4" width="16" customWidth="1"/>
    <col min="5" max="5" width="14" customWidth="1"/>
    <col min="6" max="6" width="11.109375" customWidth="1"/>
    <col min="7" max="7" width="12.88671875" style="18" customWidth="1"/>
    <col min="8" max="8" width="14.109375" customWidth="1"/>
    <col min="9" max="9" width="18" customWidth="1"/>
    <col min="10" max="10" width="12" customWidth="1"/>
    <col min="11" max="11" width="18" customWidth="1"/>
  </cols>
  <sheetData>
    <row r="1" spans="1:11" x14ac:dyDescent="0.3">
      <c r="A1" s="1" t="s">
        <v>0</v>
      </c>
      <c r="B1" s="1" t="s">
        <v>1</v>
      </c>
      <c r="C1" s="1" t="s">
        <v>2</v>
      </c>
      <c r="D1" s="1" t="s">
        <v>3</v>
      </c>
      <c r="E1" s="1" t="s">
        <v>4</v>
      </c>
      <c r="F1" s="1" t="s">
        <v>5</v>
      </c>
      <c r="G1" s="50" t="s">
        <v>6</v>
      </c>
      <c r="H1" s="1" t="s">
        <v>7</v>
      </c>
      <c r="I1" s="1" t="s">
        <v>8</v>
      </c>
      <c r="J1" s="1" t="s">
        <v>9</v>
      </c>
      <c r="K1" s="1" t="s">
        <v>10</v>
      </c>
    </row>
    <row r="2" spans="1:11" x14ac:dyDescent="0.3">
      <c r="A2" s="2">
        <v>45658</v>
      </c>
      <c r="B2" s="3" t="s">
        <v>11</v>
      </c>
      <c r="C2" s="3" t="s">
        <v>12</v>
      </c>
      <c r="D2" s="3" t="s">
        <v>13</v>
      </c>
      <c r="E2" s="3" t="s">
        <v>14</v>
      </c>
      <c r="F2" s="3">
        <v>113</v>
      </c>
      <c r="G2" s="48">
        <v>47.02</v>
      </c>
      <c r="H2" s="48">
        <v>5313.26</v>
      </c>
      <c r="I2" s="3" t="s">
        <v>15</v>
      </c>
      <c r="J2" s="3" t="s">
        <v>16</v>
      </c>
      <c r="K2" s="3" t="s">
        <v>17</v>
      </c>
    </row>
    <row r="3" spans="1:11" x14ac:dyDescent="0.3">
      <c r="A3" s="4">
        <v>45659</v>
      </c>
      <c r="B3" s="5" t="s">
        <v>18</v>
      </c>
      <c r="C3" s="5" t="s">
        <v>19</v>
      </c>
      <c r="D3" s="5" t="s">
        <v>13</v>
      </c>
      <c r="E3" s="5" t="s">
        <v>14</v>
      </c>
      <c r="F3" s="5">
        <v>54</v>
      </c>
      <c r="G3" s="49">
        <v>46.51</v>
      </c>
      <c r="H3" s="49">
        <v>2511.54</v>
      </c>
      <c r="I3" s="5" t="s">
        <v>15</v>
      </c>
      <c r="J3" s="5" t="s">
        <v>16</v>
      </c>
      <c r="K3" s="5" t="s">
        <v>17</v>
      </c>
    </row>
    <row r="4" spans="1:11" x14ac:dyDescent="0.3">
      <c r="A4" s="2">
        <v>45660</v>
      </c>
      <c r="B4" s="3" t="s">
        <v>20</v>
      </c>
      <c r="C4" s="3" t="s">
        <v>19</v>
      </c>
      <c r="D4" s="3" t="s">
        <v>21</v>
      </c>
      <c r="E4" s="3" t="s">
        <v>22</v>
      </c>
      <c r="F4" s="3">
        <v>88</v>
      </c>
      <c r="G4" s="48">
        <v>10.33</v>
      </c>
      <c r="H4" s="48">
        <v>909.04</v>
      </c>
      <c r="I4" s="3" t="s">
        <v>23</v>
      </c>
      <c r="J4" s="3" t="s">
        <v>16</v>
      </c>
      <c r="K4" s="3" t="s">
        <v>24</v>
      </c>
    </row>
    <row r="5" spans="1:11" x14ac:dyDescent="0.3">
      <c r="A5" s="4">
        <v>45660</v>
      </c>
      <c r="B5" s="5" t="s">
        <v>25</v>
      </c>
      <c r="C5" s="5" t="s">
        <v>12</v>
      </c>
      <c r="D5" s="5" t="s">
        <v>26</v>
      </c>
      <c r="E5" s="5" t="s">
        <v>27</v>
      </c>
      <c r="F5" s="5">
        <v>44</v>
      </c>
      <c r="G5" s="49">
        <v>58.07</v>
      </c>
      <c r="H5" s="49">
        <v>2555.08</v>
      </c>
      <c r="I5" s="5" t="s">
        <v>28</v>
      </c>
      <c r="J5" s="5" t="s">
        <v>29</v>
      </c>
      <c r="K5" s="5"/>
    </row>
    <row r="6" spans="1:11" x14ac:dyDescent="0.3">
      <c r="A6" s="2">
        <v>45660</v>
      </c>
      <c r="B6" s="3" t="s">
        <v>18</v>
      </c>
      <c r="C6" s="3" t="s">
        <v>30</v>
      </c>
      <c r="D6" s="3" t="s">
        <v>31</v>
      </c>
      <c r="E6" s="3" t="s">
        <v>32</v>
      </c>
      <c r="F6" s="3">
        <v>144</v>
      </c>
      <c r="G6" s="48">
        <v>12.08</v>
      </c>
      <c r="H6" s="48">
        <v>1739.52</v>
      </c>
      <c r="I6" s="3" t="s">
        <v>28</v>
      </c>
      <c r="J6" s="3" t="s">
        <v>16</v>
      </c>
      <c r="K6" s="3" t="s">
        <v>33</v>
      </c>
    </row>
    <row r="7" spans="1:11" x14ac:dyDescent="0.3">
      <c r="A7" s="4">
        <v>45661</v>
      </c>
      <c r="B7" s="5" t="s">
        <v>34</v>
      </c>
      <c r="C7" s="5" t="s">
        <v>12</v>
      </c>
      <c r="D7" s="5" t="s">
        <v>26</v>
      </c>
      <c r="E7" s="5" t="s">
        <v>27</v>
      </c>
      <c r="F7" s="5">
        <v>122</v>
      </c>
      <c r="G7" s="49">
        <v>59.1</v>
      </c>
      <c r="H7" s="49">
        <v>7210.2</v>
      </c>
      <c r="I7" s="5" t="s">
        <v>23</v>
      </c>
      <c r="J7" s="5" t="s">
        <v>16</v>
      </c>
      <c r="K7" s="5"/>
    </row>
    <row r="8" spans="1:11" x14ac:dyDescent="0.3">
      <c r="A8" s="2">
        <v>45661</v>
      </c>
      <c r="B8" s="3" t="s">
        <v>18</v>
      </c>
      <c r="C8" s="3" t="s">
        <v>30</v>
      </c>
      <c r="D8" s="3" t="s">
        <v>35</v>
      </c>
      <c r="E8" s="3" t="s">
        <v>32</v>
      </c>
      <c r="F8" s="3">
        <v>39</v>
      </c>
      <c r="G8" s="48">
        <v>13.14</v>
      </c>
      <c r="H8" s="48">
        <v>512.46</v>
      </c>
      <c r="I8" s="3" t="s">
        <v>28</v>
      </c>
      <c r="J8" s="3" t="s">
        <v>16</v>
      </c>
      <c r="K8" s="3" t="s">
        <v>17</v>
      </c>
    </row>
    <row r="9" spans="1:11" x14ac:dyDescent="0.3">
      <c r="A9" s="4">
        <v>45661</v>
      </c>
      <c r="B9" s="5" t="s">
        <v>36</v>
      </c>
      <c r="C9" s="5" t="s">
        <v>19</v>
      </c>
      <c r="D9" s="5" t="s">
        <v>21</v>
      </c>
      <c r="E9" s="5" t="s">
        <v>22</v>
      </c>
      <c r="F9" s="5">
        <v>182</v>
      </c>
      <c r="G9" s="49">
        <v>9.48</v>
      </c>
      <c r="H9" s="49">
        <v>1725.36</v>
      </c>
      <c r="I9" s="5" t="s">
        <v>37</v>
      </c>
      <c r="J9" s="5" t="s">
        <v>29</v>
      </c>
      <c r="K9" s="5"/>
    </row>
    <row r="10" spans="1:11" x14ac:dyDescent="0.3">
      <c r="A10" s="2">
        <v>45661</v>
      </c>
      <c r="B10" s="3" t="s">
        <v>20</v>
      </c>
      <c r="C10" s="3" t="s">
        <v>38</v>
      </c>
      <c r="D10" s="3" t="s">
        <v>39</v>
      </c>
      <c r="E10" s="3" t="s">
        <v>40</v>
      </c>
      <c r="F10" s="3">
        <v>40</v>
      </c>
      <c r="G10" s="48">
        <v>57.24</v>
      </c>
      <c r="H10" s="48">
        <v>2289.6</v>
      </c>
      <c r="I10" s="3" t="s">
        <v>41</v>
      </c>
      <c r="J10" s="3" t="s">
        <v>16</v>
      </c>
      <c r="K10" s="3" t="s">
        <v>42</v>
      </c>
    </row>
    <row r="11" spans="1:11" x14ac:dyDescent="0.3">
      <c r="A11" s="4">
        <v>45661</v>
      </c>
      <c r="B11" s="5" t="s">
        <v>25</v>
      </c>
      <c r="C11" s="5" t="s">
        <v>30</v>
      </c>
      <c r="D11" s="5" t="s">
        <v>43</v>
      </c>
      <c r="E11" s="5" t="s">
        <v>44</v>
      </c>
      <c r="F11" s="5">
        <v>137</v>
      </c>
      <c r="G11" s="49">
        <v>130.47999999999999</v>
      </c>
      <c r="H11" s="49">
        <v>17875.759999999998</v>
      </c>
      <c r="I11" s="5" t="s">
        <v>15</v>
      </c>
      <c r="J11" s="5" t="s">
        <v>16</v>
      </c>
      <c r="K11" s="5" t="s">
        <v>24</v>
      </c>
    </row>
    <row r="12" spans="1:11" x14ac:dyDescent="0.3">
      <c r="A12" s="2">
        <v>45661</v>
      </c>
      <c r="B12" s="3" t="s">
        <v>36</v>
      </c>
      <c r="C12" s="3" t="s">
        <v>45</v>
      </c>
      <c r="D12" s="3" t="s">
        <v>35</v>
      </c>
      <c r="E12" s="3" t="s">
        <v>32</v>
      </c>
      <c r="F12" s="3">
        <v>14</v>
      </c>
      <c r="G12" s="48">
        <v>14.28</v>
      </c>
      <c r="H12" s="48">
        <v>199.92</v>
      </c>
      <c r="I12" s="3" t="s">
        <v>23</v>
      </c>
      <c r="J12" s="3" t="s">
        <v>16</v>
      </c>
      <c r="K12" s="3" t="s">
        <v>46</v>
      </c>
    </row>
    <row r="13" spans="1:11" x14ac:dyDescent="0.3">
      <c r="A13" s="4">
        <v>45661</v>
      </c>
      <c r="B13" s="5" t="s">
        <v>25</v>
      </c>
      <c r="C13" s="5" t="s">
        <v>19</v>
      </c>
      <c r="D13" s="5" t="s">
        <v>21</v>
      </c>
      <c r="E13" s="5" t="s">
        <v>22</v>
      </c>
      <c r="F13" s="5">
        <v>40</v>
      </c>
      <c r="G13" s="49">
        <v>9.59</v>
      </c>
      <c r="H13" s="49">
        <v>383.6</v>
      </c>
      <c r="I13" s="5" t="s">
        <v>37</v>
      </c>
      <c r="J13" s="5" t="s">
        <v>29</v>
      </c>
      <c r="K13" s="5"/>
    </row>
    <row r="14" spans="1:11" x14ac:dyDescent="0.3">
      <c r="A14" s="2">
        <v>45661</v>
      </c>
      <c r="B14" s="3" t="s">
        <v>36</v>
      </c>
      <c r="C14" s="3" t="s">
        <v>30</v>
      </c>
      <c r="D14" s="3" t="s">
        <v>31</v>
      </c>
      <c r="E14" s="3" t="s">
        <v>32</v>
      </c>
      <c r="F14" s="3">
        <v>125</v>
      </c>
      <c r="G14" s="48">
        <v>11.68</v>
      </c>
      <c r="H14" s="48">
        <v>1460</v>
      </c>
      <c r="I14" s="3" t="s">
        <v>23</v>
      </c>
      <c r="J14" s="3" t="s">
        <v>47</v>
      </c>
      <c r="K14" s="3" t="s">
        <v>17</v>
      </c>
    </row>
    <row r="15" spans="1:11" x14ac:dyDescent="0.3">
      <c r="A15" s="4">
        <v>45661</v>
      </c>
      <c r="B15" s="5" t="s">
        <v>34</v>
      </c>
      <c r="C15" s="5" t="s">
        <v>19</v>
      </c>
      <c r="D15" s="5" t="s">
        <v>48</v>
      </c>
      <c r="E15" s="5" t="s">
        <v>14</v>
      </c>
      <c r="F15" s="5">
        <v>88</v>
      </c>
      <c r="G15" s="49">
        <v>90.09</v>
      </c>
      <c r="H15" s="49">
        <v>7927.92</v>
      </c>
      <c r="I15" s="5" t="s">
        <v>41</v>
      </c>
      <c r="J15" s="5" t="s">
        <v>29</v>
      </c>
      <c r="K15" s="5" t="s">
        <v>17</v>
      </c>
    </row>
    <row r="16" spans="1:11" x14ac:dyDescent="0.3">
      <c r="A16" s="2">
        <v>45662</v>
      </c>
      <c r="B16" s="3" t="s">
        <v>11</v>
      </c>
      <c r="C16" s="3" t="s">
        <v>30</v>
      </c>
      <c r="D16" s="3" t="s">
        <v>49</v>
      </c>
      <c r="E16" s="3" t="s">
        <v>50</v>
      </c>
      <c r="F16" s="3">
        <v>90</v>
      </c>
      <c r="G16" s="48">
        <v>20.23</v>
      </c>
      <c r="H16" s="48">
        <v>1820.7</v>
      </c>
      <c r="I16" s="3" t="s">
        <v>23</v>
      </c>
      <c r="J16" s="3" t="s">
        <v>16</v>
      </c>
      <c r="K16" s="3"/>
    </row>
    <row r="17" spans="1:11" x14ac:dyDescent="0.3">
      <c r="A17" s="4">
        <v>45662</v>
      </c>
      <c r="B17" s="5" t="s">
        <v>11</v>
      </c>
      <c r="C17" s="5" t="s">
        <v>19</v>
      </c>
      <c r="D17" s="5" t="s">
        <v>13</v>
      </c>
      <c r="E17" s="5" t="s">
        <v>14</v>
      </c>
      <c r="F17" s="5">
        <v>48</v>
      </c>
      <c r="G17" s="49">
        <v>42.87</v>
      </c>
      <c r="H17" s="49">
        <v>2057.7600000000002</v>
      </c>
      <c r="I17" s="5" t="s">
        <v>37</v>
      </c>
      <c r="J17" s="5" t="s">
        <v>29</v>
      </c>
      <c r="K17" s="5"/>
    </row>
    <row r="18" spans="1:11" x14ac:dyDescent="0.3">
      <c r="A18" s="2">
        <v>45662</v>
      </c>
      <c r="B18" s="3" t="s">
        <v>51</v>
      </c>
      <c r="C18" s="3" t="s">
        <v>45</v>
      </c>
      <c r="D18" s="3" t="s">
        <v>52</v>
      </c>
      <c r="E18" s="3" t="s">
        <v>27</v>
      </c>
      <c r="F18" s="3"/>
      <c r="G18" s="48"/>
      <c r="H18" s="48"/>
      <c r="I18" s="3" t="s">
        <v>37</v>
      </c>
      <c r="J18" s="3" t="s">
        <v>16</v>
      </c>
      <c r="K18" s="3" t="s">
        <v>33</v>
      </c>
    </row>
    <row r="19" spans="1:11" x14ac:dyDescent="0.3">
      <c r="A19" s="4">
        <v>45662</v>
      </c>
      <c r="B19" s="5" t="s">
        <v>53</v>
      </c>
      <c r="C19" s="5" t="s">
        <v>30</v>
      </c>
      <c r="D19" s="5" t="s">
        <v>31</v>
      </c>
      <c r="E19" s="5" t="s">
        <v>32</v>
      </c>
      <c r="F19" s="5"/>
      <c r="G19" s="49">
        <v>11.16</v>
      </c>
      <c r="H19" s="49"/>
      <c r="I19" s="5" t="s">
        <v>15</v>
      </c>
      <c r="J19" s="5" t="s">
        <v>47</v>
      </c>
      <c r="K19" s="5" t="s">
        <v>33</v>
      </c>
    </row>
    <row r="20" spans="1:11" x14ac:dyDescent="0.3">
      <c r="A20" s="2">
        <v>45662</v>
      </c>
      <c r="B20" s="3" t="s">
        <v>25</v>
      </c>
      <c r="C20" s="3" t="s">
        <v>45</v>
      </c>
      <c r="D20" s="3" t="s">
        <v>26</v>
      </c>
      <c r="E20" s="3" t="s">
        <v>27</v>
      </c>
      <c r="F20" s="3">
        <v>64</v>
      </c>
      <c r="G20" s="48">
        <v>57.85</v>
      </c>
      <c r="H20" s="48">
        <v>3702.4</v>
      </c>
      <c r="I20" s="3" t="s">
        <v>23</v>
      </c>
      <c r="J20" s="3" t="s">
        <v>47</v>
      </c>
      <c r="K20" s="3" t="s">
        <v>33</v>
      </c>
    </row>
    <row r="21" spans="1:11" x14ac:dyDescent="0.3">
      <c r="A21" s="4">
        <v>45663</v>
      </c>
      <c r="B21" s="5" t="s">
        <v>25</v>
      </c>
      <c r="C21" s="5" t="s">
        <v>45</v>
      </c>
      <c r="D21" s="5" t="s">
        <v>39</v>
      </c>
      <c r="E21" s="5" t="s">
        <v>40</v>
      </c>
      <c r="F21" s="5">
        <v>46</v>
      </c>
      <c r="G21" s="49">
        <v>58.05</v>
      </c>
      <c r="H21" s="49">
        <v>2670.3</v>
      </c>
      <c r="I21" s="5" t="s">
        <v>41</v>
      </c>
      <c r="J21" s="5" t="s">
        <v>16</v>
      </c>
      <c r="K21" s="5"/>
    </row>
    <row r="22" spans="1:11" x14ac:dyDescent="0.3">
      <c r="A22" s="2">
        <v>45663</v>
      </c>
      <c r="B22" s="3" t="s">
        <v>36</v>
      </c>
      <c r="C22" s="3" t="s">
        <v>19</v>
      </c>
      <c r="D22" s="3" t="s">
        <v>54</v>
      </c>
      <c r="E22" s="3" t="s">
        <v>44</v>
      </c>
      <c r="F22" s="3">
        <v>28</v>
      </c>
      <c r="G22" s="48">
        <v>116.83</v>
      </c>
      <c r="H22" s="48">
        <v>3271.24</v>
      </c>
      <c r="I22" s="3" t="s">
        <v>15</v>
      </c>
      <c r="J22" s="3" t="s">
        <v>55</v>
      </c>
      <c r="K22" s="3" t="s">
        <v>17</v>
      </c>
    </row>
    <row r="23" spans="1:11" x14ac:dyDescent="0.3">
      <c r="A23" s="4">
        <v>45663</v>
      </c>
      <c r="B23" s="5" t="s">
        <v>18</v>
      </c>
      <c r="C23" s="5" t="s">
        <v>30</v>
      </c>
      <c r="D23" s="5" t="s">
        <v>48</v>
      </c>
      <c r="E23" s="5" t="s">
        <v>14</v>
      </c>
      <c r="F23" s="5">
        <v>183</v>
      </c>
      <c r="G23" s="49">
        <v>80.91</v>
      </c>
      <c r="H23" s="49">
        <v>14806.53</v>
      </c>
      <c r="I23" s="5" t="s">
        <v>23</v>
      </c>
      <c r="J23" s="5" t="s">
        <v>16</v>
      </c>
      <c r="K23" s="5" t="s">
        <v>42</v>
      </c>
    </row>
    <row r="24" spans="1:11" x14ac:dyDescent="0.3">
      <c r="A24" s="2">
        <v>45663</v>
      </c>
      <c r="B24" s="3" t="s">
        <v>34</v>
      </c>
      <c r="C24" s="3" t="s">
        <v>45</v>
      </c>
      <c r="D24" s="3" t="s">
        <v>52</v>
      </c>
      <c r="E24" s="3" t="s">
        <v>27</v>
      </c>
      <c r="F24" s="3">
        <v>152</v>
      </c>
      <c r="G24" s="48">
        <v>48.55</v>
      </c>
      <c r="H24" s="48">
        <v>7379.6</v>
      </c>
      <c r="I24" s="3" t="s">
        <v>37</v>
      </c>
      <c r="J24" s="3" t="s">
        <v>16</v>
      </c>
      <c r="K24" s="3"/>
    </row>
    <row r="25" spans="1:11" x14ac:dyDescent="0.3">
      <c r="A25" s="4">
        <v>45663</v>
      </c>
      <c r="B25" s="5" t="s">
        <v>36</v>
      </c>
      <c r="C25" s="5" t="s">
        <v>12</v>
      </c>
      <c r="D25" s="5" t="s">
        <v>21</v>
      </c>
      <c r="E25" s="5" t="s">
        <v>22</v>
      </c>
      <c r="F25" s="5">
        <v>109</v>
      </c>
      <c r="G25" s="49">
        <v>9.36</v>
      </c>
      <c r="H25" s="49">
        <v>1020.24</v>
      </c>
      <c r="I25" s="5" t="s">
        <v>37</v>
      </c>
      <c r="J25" s="5" t="s">
        <v>16</v>
      </c>
      <c r="K25" s="5" t="s">
        <v>42</v>
      </c>
    </row>
    <row r="26" spans="1:11" x14ac:dyDescent="0.3">
      <c r="A26" s="2">
        <v>45663</v>
      </c>
      <c r="B26" s="3" t="s">
        <v>56</v>
      </c>
      <c r="C26" s="3" t="s">
        <v>30</v>
      </c>
      <c r="D26" s="3" t="s">
        <v>48</v>
      </c>
      <c r="E26" s="3" t="s">
        <v>14</v>
      </c>
      <c r="F26" s="3">
        <v>164</v>
      </c>
      <c r="G26" s="48">
        <v>79.06</v>
      </c>
      <c r="H26" s="48">
        <v>12965.84</v>
      </c>
      <c r="I26" s="3" t="s">
        <v>37</v>
      </c>
      <c r="J26" s="3" t="s">
        <v>16</v>
      </c>
      <c r="K26" s="3"/>
    </row>
    <row r="27" spans="1:11" x14ac:dyDescent="0.3">
      <c r="A27" s="4">
        <v>45664</v>
      </c>
      <c r="B27" s="5" t="s">
        <v>56</v>
      </c>
      <c r="C27" s="5" t="s">
        <v>38</v>
      </c>
      <c r="D27" s="5" t="s">
        <v>26</v>
      </c>
      <c r="E27" s="5" t="s">
        <v>27</v>
      </c>
      <c r="F27" s="5">
        <v>166</v>
      </c>
      <c r="G27" s="49">
        <v>51.24</v>
      </c>
      <c r="H27" s="49">
        <v>8505.84</v>
      </c>
      <c r="I27" s="5" t="s">
        <v>37</v>
      </c>
      <c r="J27" s="5" t="s">
        <v>16</v>
      </c>
      <c r="K27" s="5" t="s">
        <v>33</v>
      </c>
    </row>
    <row r="28" spans="1:11" x14ac:dyDescent="0.3">
      <c r="A28" s="2">
        <v>45664</v>
      </c>
      <c r="B28" s="3" t="s">
        <v>34</v>
      </c>
      <c r="C28" s="3" t="s">
        <v>45</v>
      </c>
      <c r="D28" s="3" t="s">
        <v>21</v>
      </c>
      <c r="E28" s="3" t="s">
        <v>22</v>
      </c>
      <c r="F28" s="3">
        <v>166</v>
      </c>
      <c r="G28" s="48">
        <v>9.57</v>
      </c>
      <c r="H28" s="48">
        <v>1588.62</v>
      </c>
      <c r="I28" s="3" t="s">
        <v>41</v>
      </c>
      <c r="J28" s="3" t="s">
        <v>29</v>
      </c>
      <c r="K28" s="3" t="s">
        <v>17</v>
      </c>
    </row>
    <row r="29" spans="1:11" x14ac:dyDescent="0.3">
      <c r="A29" s="4">
        <v>45664</v>
      </c>
      <c r="B29" s="5" t="s">
        <v>34</v>
      </c>
      <c r="C29" s="5" t="s">
        <v>12</v>
      </c>
      <c r="D29" s="5" t="s">
        <v>54</v>
      </c>
      <c r="E29" s="5" t="s">
        <v>44</v>
      </c>
      <c r="F29" s="5">
        <v>42</v>
      </c>
      <c r="G29" s="49">
        <v>116.19</v>
      </c>
      <c r="H29" s="49">
        <v>4879.9799999999996</v>
      </c>
      <c r="I29" s="5" t="s">
        <v>23</v>
      </c>
      <c r="J29" s="5" t="s">
        <v>16</v>
      </c>
      <c r="K29" s="5"/>
    </row>
    <row r="30" spans="1:11" x14ac:dyDescent="0.3">
      <c r="A30" s="2">
        <v>45665</v>
      </c>
      <c r="B30" s="3" t="s">
        <v>11</v>
      </c>
      <c r="C30" s="3" t="s">
        <v>19</v>
      </c>
      <c r="D30" s="3" t="s">
        <v>43</v>
      </c>
      <c r="E30" s="3" t="s">
        <v>44</v>
      </c>
      <c r="F30" s="3">
        <v>134</v>
      </c>
      <c r="G30" s="48">
        <v>136.19</v>
      </c>
      <c r="H30" s="48">
        <v>18249.46</v>
      </c>
      <c r="I30" s="3" t="s">
        <v>15</v>
      </c>
      <c r="J30" s="3" t="s">
        <v>16</v>
      </c>
      <c r="K30" s="3"/>
    </row>
    <row r="31" spans="1:11" x14ac:dyDescent="0.3">
      <c r="A31" s="4">
        <v>45665</v>
      </c>
      <c r="B31" s="5" t="s">
        <v>36</v>
      </c>
      <c r="C31" s="5" t="s">
        <v>12</v>
      </c>
      <c r="D31" s="5" t="s">
        <v>31</v>
      </c>
      <c r="E31" s="5" t="s">
        <v>32</v>
      </c>
      <c r="F31" s="5">
        <v>144</v>
      </c>
      <c r="G31" s="49">
        <v>12.41</v>
      </c>
      <c r="H31" s="49">
        <v>1787.04</v>
      </c>
      <c r="I31" s="5" t="s">
        <v>41</v>
      </c>
      <c r="J31" s="5" t="s">
        <v>57</v>
      </c>
      <c r="K31" s="5"/>
    </row>
    <row r="32" spans="1:11" x14ac:dyDescent="0.3">
      <c r="A32" s="2">
        <v>45665</v>
      </c>
      <c r="B32" s="3" t="s">
        <v>36</v>
      </c>
      <c r="C32" s="3" t="s">
        <v>45</v>
      </c>
      <c r="D32" s="3" t="s">
        <v>21</v>
      </c>
      <c r="E32" s="3" t="s">
        <v>22</v>
      </c>
      <c r="F32" s="3">
        <v>46</v>
      </c>
      <c r="G32" s="48">
        <v>9.5</v>
      </c>
      <c r="H32" s="48">
        <v>437</v>
      </c>
      <c r="I32" s="3" t="s">
        <v>15</v>
      </c>
      <c r="J32" s="3" t="s">
        <v>29</v>
      </c>
      <c r="K32" s="3"/>
    </row>
    <row r="33" spans="1:11" x14ac:dyDescent="0.3">
      <c r="A33" s="4">
        <v>45665</v>
      </c>
      <c r="B33" s="5" t="s">
        <v>36</v>
      </c>
      <c r="C33" s="5" t="s">
        <v>12</v>
      </c>
      <c r="D33" s="5" t="s">
        <v>13</v>
      </c>
      <c r="E33" s="5" t="s">
        <v>14</v>
      </c>
      <c r="F33" s="5">
        <v>87</v>
      </c>
      <c r="G33" s="49">
        <v>48.12</v>
      </c>
      <c r="H33" s="49">
        <v>4186.4399999999996</v>
      </c>
      <c r="I33" s="5" t="s">
        <v>37</v>
      </c>
      <c r="J33" s="5" t="s">
        <v>16</v>
      </c>
      <c r="K33" s="5"/>
    </row>
    <row r="34" spans="1:11" x14ac:dyDescent="0.3">
      <c r="A34" s="2">
        <v>45666</v>
      </c>
      <c r="B34" s="3" t="s">
        <v>36</v>
      </c>
      <c r="C34" s="3" t="s">
        <v>12</v>
      </c>
      <c r="D34" s="3" t="s">
        <v>31</v>
      </c>
      <c r="E34" s="3" t="s">
        <v>32</v>
      </c>
      <c r="F34" s="3">
        <v>26</v>
      </c>
      <c r="G34" s="48">
        <v>12.85</v>
      </c>
      <c r="H34" s="48">
        <v>334.1</v>
      </c>
      <c r="I34" s="3" t="s">
        <v>37</v>
      </c>
      <c r="J34" s="3" t="s">
        <v>29</v>
      </c>
      <c r="K34" s="3" t="s">
        <v>17</v>
      </c>
    </row>
    <row r="35" spans="1:11" x14ac:dyDescent="0.3">
      <c r="A35" s="4">
        <v>45666</v>
      </c>
      <c r="B35" s="5" t="s">
        <v>36</v>
      </c>
      <c r="C35" s="5" t="s">
        <v>30</v>
      </c>
      <c r="D35" s="5" t="s">
        <v>52</v>
      </c>
      <c r="E35" s="5" t="s">
        <v>27</v>
      </c>
      <c r="F35" s="5">
        <v>70</v>
      </c>
      <c r="G35" s="49">
        <v>47.89</v>
      </c>
      <c r="H35" s="49">
        <v>3352.3</v>
      </c>
      <c r="I35" s="5" t="s">
        <v>28</v>
      </c>
      <c r="J35" s="5" t="s">
        <v>47</v>
      </c>
      <c r="K35" s="5" t="s">
        <v>17</v>
      </c>
    </row>
    <row r="36" spans="1:11" x14ac:dyDescent="0.3">
      <c r="A36" s="2">
        <v>45666</v>
      </c>
      <c r="B36" s="3" t="s">
        <v>56</v>
      </c>
      <c r="C36" s="3" t="s">
        <v>45</v>
      </c>
      <c r="D36" s="3" t="s">
        <v>54</v>
      </c>
      <c r="E36" s="3" t="s">
        <v>44</v>
      </c>
      <c r="F36" s="3">
        <v>24</v>
      </c>
      <c r="G36" s="48">
        <v>112.76</v>
      </c>
      <c r="H36" s="48">
        <v>2706.24</v>
      </c>
      <c r="I36" s="3" t="s">
        <v>28</v>
      </c>
      <c r="J36" s="3" t="s">
        <v>16</v>
      </c>
      <c r="K36" s="3"/>
    </row>
    <row r="37" spans="1:11" x14ac:dyDescent="0.3">
      <c r="A37" s="4">
        <v>45667</v>
      </c>
      <c r="B37" s="5" t="s">
        <v>53</v>
      </c>
      <c r="C37" s="5" t="s">
        <v>38</v>
      </c>
      <c r="D37" s="5" t="s">
        <v>58</v>
      </c>
      <c r="E37" s="5" t="s">
        <v>22</v>
      </c>
      <c r="F37" s="5">
        <v>185</v>
      </c>
      <c r="G37" s="49">
        <v>26.99</v>
      </c>
      <c r="H37" s="49">
        <v>4993.1499999999996</v>
      </c>
      <c r="I37" s="5" t="s">
        <v>28</v>
      </c>
      <c r="J37" s="5" t="s">
        <v>16</v>
      </c>
      <c r="K37" s="5"/>
    </row>
    <row r="38" spans="1:11" x14ac:dyDescent="0.3">
      <c r="A38" s="2">
        <v>45667</v>
      </c>
      <c r="B38" s="3" t="s">
        <v>56</v>
      </c>
      <c r="C38" s="3" t="s">
        <v>30</v>
      </c>
      <c r="D38" s="3" t="s">
        <v>59</v>
      </c>
      <c r="E38" s="3" t="s">
        <v>50</v>
      </c>
      <c r="F38" s="3">
        <v>164</v>
      </c>
      <c r="G38" s="48">
        <v>30.66</v>
      </c>
      <c r="H38" s="48">
        <v>5028.24</v>
      </c>
      <c r="I38" s="3" t="s">
        <v>37</v>
      </c>
      <c r="J38" s="3" t="s">
        <v>29</v>
      </c>
      <c r="K38" s="3"/>
    </row>
    <row r="39" spans="1:11" x14ac:dyDescent="0.3">
      <c r="A39" s="4">
        <v>45667</v>
      </c>
      <c r="B39" s="5" t="s">
        <v>36</v>
      </c>
      <c r="C39" s="5" t="s">
        <v>30</v>
      </c>
      <c r="D39" s="5" t="s">
        <v>48</v>
      </c>
      <c r="E39" s="5" t="s">
        <v>14</v>
      </c>
      <c r="F39" s="5">
        <v>194</v>
      </c>
      <c r="G39" s="49">
        <v>79.81</v>
      </c>
      <c r="H39" s="49">
        <v>15483.14</v>
      </c>
      <c r="I39" s="5" t="s">
        <v>37</v>
      </c>
      <c r="J39" s="5" t="s">
        <v>29</v>
      </c>
      <c r="K39" s="5" t="s">
        <v>46</v>
      </c>
    </row>
    <row r="40" spans="1:11" x14ac:dyDescent="0.3">
      <c r="A40" s="2">
        <v>45668</v>
      </c>
      <c r="B40" s="3" t="s">
        <v>25</v>
      </c>
      <c r="C40" s="3" t="s">
        <v>12</v>
      </c>
      <c r="D40" s="3" t="s">
        <v>52</v>
      </c>
      <c r="E40" s="3" t="s">
        <v>27</v>
      </c>
      <c r="F40" s="3">
        <v>176</v>
      </c>
      <c r="G40" s="48">
        <v>46.3</v>
      </c>
      <c r="H40" s="48">
        <v>8148.8</v>
      </c>
      <c r="I40" s="3" t="s">
        <v>41</v>
      </c>
      <c r="J40" s="3" t="s">
        <v>29</v>
      </c>
      <c r="K40" s="3" t="s">
        <v>33</v>
      </c>
    </row>
    <row r="41" spans="1:11" x14ac:dyDescent="0.3">
      <c r="A41" s="4">
        <v>45668</v>
      </c>
      <c r="B41" s="5" t="s">
        <v>56</v>
      </c>
      <c r="C41" s="5" t="s">
        <v>30</v>
      </c>
      <c r="D41" s="5" t="s">
        <v>60</v>
      </c>
      <c r="E41" s="5" t="s">
        <v>44</v>
      </c>
      <c r="F41" s="5">
        <v>174</v>
      </c>
      <c r="G41" s="49">
        <v>115.48</v>
      </c>
      <c r="H41" s="49">
        <v>20093.52</v>
      </c>
      <c r="I41" s="5" t="s">
        <v>41</v>
      </c>
      <c r="J41" s="5" t="s">
        <v>47</v>
      </c>
      <c r="K41" s="5" t="s">
        <v>46</v>
      </c>
    </row>
    <row r="42" spans="1:11" x14ac:dyDescent="0.3">
      <c r="A42" s="2">
        <v>45668</v>
      </c>
      <c r="B42" s="3" t="s">
        <v>11</v>
      </c>
      <c r="C42" s="3" t="s">
        <v>45</v>
      </c>
      <c r="D42" s="3" t="s">
        <v>35</v>
      </c>
      <c r="E42" s="3" t="s">
        <v>32</v>
      </c>
      <c r="F42" s="3">
        <v>118</v>
      </c>
      <c r="G42" s="48">
        <v>14.74</v>
      </c>
      <c r="H42" s="48">
        <v>1739.32</v>
      </c>
      <c r="I42" s="3" t="s">
        <v>28</v>
      </c>
      <c r="J42" s="3" t="s">
        <v>16</v>
      </c>
      <c r="K42" s="3"/>
    </row>
    <row r="43" spans="1:11" x14ac:dyDescent="0.3">
      <c r="A43" s="4">
        <v>45668</v>
      </c>
      <c r="B43" s="5" t="s">
        <v>11</v>
      </c>
      <c r="C43" s="5" t="s">
        <v>45</v>
      </c>
      <c r="D43" s="5" t="s">
        <v>60</v>
      </c>
      <c r="E43" s="5" t="s">
        <v>44</v>
      </c>
      <c r="F43" s="5">
        <v>118</v>
      </c>
      <c r="G43" s="49">
        <v>119.6</v>
      </c>
      <c r="H43" s="49">
        <v>14112.8</v>
      </c>
      <c r="I43" s="5" t="s">
        <v>28</v>
      </c>
      <c r="J43" s="5" t="s">
        <v>29</v>
      </c>
      <c r="K43" s="5"/>
    </row>
    <row r="44" spans="1:11" x14ac:dyDescent="0.3">
      <c r="A44" s="2">
        <v>45668</v>
      </c>
      <c r="B44" s="3" t="s">
        <v>36</v>
      </c>
      <c r="C44" s="3" t="s">
        <v>12</v>
      </c>
      <c r="D44" s="3" t="s">
        <v>58</v>
      </c>
      <c r="E44" s="3" t="s">
        <v>22</v>
      </c>
      <c r="F44" s="3">
        <v>67</v>
      </c>
      <c r="G44" s="48">
        <v>25.85</v>
      </c>
      <c r="H44" s="48">
        <v>1731.95</v>
      </c>
      <c r="I44" s="3" t="s">
        <v>28</v>
      </c>
      <c r="J44" s="3" t="s">
        <v>47</v>
      </c>
      <c r="K44" s="3"/>
    </row>
    <row r="45" spans="1:11" x14ac:dyDescent="0.3">
      <c r="A45" s="4">
        <v>45669</v>
      </c>
      <c r="B45" s="5" t="s">
        <v>53</v>
      </c>
      <c r="C45" s="5" t="s">
        <v>19</v>
      </c>
      <c r="D45" s="5" t="s">
        <v>52</v>
      </c>
      <c r="E45" s="5" t="s">
        <v>27</v>
      </c>
      <c r="F45" s="5">
        <v>154</v>
      </c>
      <c r="G45" s="49">
        <v>45.54</v>
      </c>
      <c r="H45" s="49">
        <v>7013.16</v>
      </c>
      <c r="I45" s="5" t="s">
        <v>15</v>
      </c>
      <c r="J45" s="5" t="s">
        <v>61</v>
      </c>
      <c r="K45" s="5" t="s">
        <v>33</v>
      </c>
    </row>
    <row r="46" spans="1:11" x14ac:dyDescent="0.3">
      <c r="A46" s="2">
        <v>45669</v>
      </c>
      <c r="B46" s="3" t="s">
        <v>53</v>
      </c>
      <c r="C46" s="3" t="s">
        <v>19</v>
      </c>
      <c r="D46" s="3" t="s">
        <v>58</v>
      </c>
      <c r="E46" s="3" t="s">
        <v>22</v>
      </c>
      <c r="F46" s="3"/>
      <c r="G46" s="48"/>
      <c r="H46" s="48"/>
      <c r="I46" s="3" t="s">
        <v>23</v>
      </c>
      <c r="J46" s="3" t="s">
        <v>47</v>
      </c>
      <c r="K46" s="3" t="s">
        <v>42</v>
      </c>
    </row>
    <row r="47" spans="1:11" x14ac:dyDescent="0.3">
      <c r="A47" s="4">
        <v>45670</v>
      </c>
      <c r="B47" s="5" t="s">
        <v>62</v>
      </c>
      <c r="C47" s="5" t="s">
        <v>30</v>
      </c>
      <c r="D47" s="5" t="s">
        <v>59</v>
      </c>
      <c r="E47" s="5" t="s">
        <v>50</v>
      </c>
      <c r="F47" s="5">
        <v>70</v>
      </c>
      <c r="G47" s="49">
        <v>29.93</v>
      </c>
      <c r="H47" s="49">
        <v>2095.1</v>
      </c>
      <c r="I47" s="5" t="s">
        <v>41</v>
      </c>
      <c r="J47" s="5" t="s">
        <v>16</v>
      </c>
      <c r="K47" s="5" t="s">
        <v>33</v>
      </c>
    </row>
    <row r="48" spans="1:11" x14ac:dyDescent="0.3">
      <c r="A48" s="2">
        <v>45671</v>
      </c>
      <c r="B48" s="3" t="s">
        <v>53</v>
      </c>
      <c r="C48" s="3" t="s">
        <v>12</v>
      </c>
      <c r="D48" s="3" t="s">
        <v>35</v>
      </c>
      <c r="E48" s="3" t="s">
        <v>32</v>
      </c>
      <c r="F48" s="3">
        <v>138</v>
      </c>
      <c r="G48" s="48">
        <v>14.4</v>
      </c>
      <c r="H48" s="48">
        <v>1987.2</v>
      </c>
      <c r="I48" s="3" t="s">
        <v>23</v>
      </c>
      <c r="J48" s="3" t="s">
        <v>16</v>
      </c>
      <c r="K48" s="3" t="s">
        <v>33</v>
      </c>
    </row>
    <row r="49" spans="1:11" x14ac:dyDescent="0.3">
      <c r="A49" s="4">
        <v>45671</v>
      </c>
      <c r="B49" s="5" t="s">
        <v>36</v>
      </c>
      <c r="C49" s="5" t="s">
        <v>45</v>
      </c>
      <c r="D49" s="5" t="s">
        <v>59</v>
      </c>
      <c r="E49" s="5" t="s">
        <v>50</v>
      </c>
      <c r="F49" s="5">
        <v>12</v>
      </c>
      <c r="G49" s="49">
        <v>30.06</v>
      </c>
      <c r="H49" s="49">
        <v>360.72</v>
      </c>
      <c r="I49" s="5" t="s">
        <v>41</v>
      </c>
      <c r="J49" s="5" t="s">
        <v>29</v>
      </c>
      <c r="K49" s="5" t="s">
        <v>24</v>
      </c>
    </row>
    <row r="50" spans="1:11" x14ac:dyDescent="0.3">
      <c r="A50" s="2">
        <v>45671</v>
      </c>
      <c r="B50" s="3" t="s">
        <v>20</v>
      </c>
      <c r="C50" s="3" t="s">
        <v>30</v>
      </c>
      <c r="D50" s="3" t="s">
        <v>59</v>
      </c>
      <c r="E50" s="3" t="s">
        <v>50</v>
      </c>
      <c r="F50" s="3">
        <v>48</v>
      </c>
      <c r="G50" s="48">
        <v>32.25</v>
      </c>
      <c r="H50" s="48">
        <v>1548</v>
      </c>
      <c r="I50" s="3" t="s">
        <v>28</v>
      </c>
      <c r="J50" s="3" t="s">
        <v>16</v>
      </c>
      <c r="K50" s="3"/>
    </row>
    <row r="51" spans="1:11" x14ac:dyDescent="0.3">
      <c r="A51" s="4">
        <v>45671</v>
      </c>
      <c r="B51" s="5" t="s">
        <v>53</v>
      </c>
      <c r="C51" s="5" t="s">
        <v>19</v>
      </c>
      <c r="D51" s="5" t="s">
        <v>48</v>
      </c>
      <c r="E51" s="5" t="s">
        <v>14</v>
      </c>
      <c r="F51" s="5">
        <v>125</v>
      </c>
      <c r="G51" s="49">
        <v>85.36</v>
      </c>
      <c r="H51" s="49">
        <v>10670</v>
      </c>
      <c r="I51" s="5" t="s">
        <v>15</v>
      </c>
      <c r="J51" s="5" t="s">
        <v>47</v>
      </c>
      <c r="K51" s="5" t="s">
        <v>42</v>
      </c>
    </row>
    <row r="52" spans="1:11" x14ac:dyDescent="0.3">
      <c r="A52" s="2">
        <v>45671</v>
      </c>
      <c r="B52" s="3" t="s">
        <v>34</v>
      </c>
      <c r="C52" s="3" t="s">
        <v>19</v>
      </c>
      <c r="D52" s="3" t="s">
        <v>13</v>
      </c>
      <c r="E52" s="3" t="s">
        <v>14</v>
      </c>
      <c r="F52" s="3">
        <v>172</v>
      </c>
      <c r="G52" s="48">
        <v>43.96</v>
      </c>
      <c r="H52" s="48">
        <v>7561.12</v>
      </c>
      <c r="I52" s="3" t="s">
        <v>15</v>
      </c>
      <c r="J52" s="3" t="s">
        <v>16</v>
      </c>
      <c r="K52" s="3"/>
    </row>
    <row r="53" spans="1:11" x14ac:dyDescent="0.3">
      <c r="A53" s="4">
        <v>45672</v>
      </c>
      <c r="B53" s="5" t="s">
        <v>18</v>
      </c>
      <c r="C53" s="5" t="s">
        <v>12</v>
      </c>
      <c r="D53" s="5" t="s">
        <v>52</v>
      </c>
      <c r="E53" s="5" t="s">
        <v>27</v>
      </c>
      <c r="F53" s="5">
        <v>145</v>
      </c>
      <c r="G53" s="49">
        <v>46.03</v>
      </c>
      <c r="H53" s="49">
        <v>6674.35</v>
      </c>
      <c r="I53" s="5" t="s">
        <v>15</v>
      </c>
      <c r="J53" s="5" t="s">
        <v>29</v>
      </c>
      <c r="K53" s="5"/>
    </row>
    <row r="54" spans="1:11" x14ac:dyDescent="0.3">
      <c r="A54" s="2">
        <v>45672</v>
      </c>
      <c r="B54" s="3" t="s">
        <v>20</v>
      </c>
      <c r="C54" s="3" t="s">
        <v>45</v>
      </c>
      <c r="D54" s="3" t="s">
        <v>35</v>
      </c>
      <c r="E54" s="3" t="s">
        <v>32</v>
      </c>
      <c r="F54" s="3">
        <v>15</v>
      </c>
      <c r="G54" s="48">
        <v>12.88</v>
      </c>
      <c r="H54" s="48">
        <v>193.2</v>
      </c>
      <c r="I54" s="3" t="s">
        <v>15</v>
      </c>
      <c r="J54" s="3" t="s">
        <v>16</v>
      </c>
      <c r="K54" s="3" t="s">
        <v>42</v>
      </c>
    </row>
    <row r="55" spans="1:11" x14ac:dyDescent="0.3">
      <c r="A55" s="4">
        <v>45672</v>
      </c>
      <c r="B55" s="5" t="s">
        <v>34</v>
      </c>
      <c r="C55" s="5" t="s">
        <v>12</v>
      </c>
      <c r="D55" s="5" t="s">
        <v>54</v>
      </c>
      <c r="E55" s="5" t="s">
        <v>44</v>
      </c>
      <c r="F55" s="5">
        <v>149</v>
      </c>
      <c r="G55" s="49">
        <v>104.58</v>
      </c>
      <c r="H55" s="49">
        <v>15582.42</v>
      </c>
      <c r="I55" s="5" t="s">
        <v>28</v>
      </c>
      <c r="J55" s="5" t="s">
        <v>16</v>
      </c>
      <c r="K55" s="5"/>
    </row>
    <row r="56" spans="1:11" x14ac:dyDescent="0.3">
      <c r="A56" s="2">
        <v>45672</v>
      </c>
      <c r="B56" s="3" t="s">
        <v>53</v>
      </c>
      <c r="C56" s="3" t="s">
        <v>45</v>
      </c>
      <c r="D56" s="3" t="s">
        <v>21</v>
      </c>
      <c r="E56" s="3" t="s">
        <v>22</v>
      </c>
      <c r="F56" s="3">
        <v>107</v>
      </c>
      <c r="G56" s="48">
        <v>9.61</v>
      </c>
      <c r="H56" s="48">
        <v>1028.27</v>
      </c>
      <c r="I56" s="3" t="s">
        <v>28</v>
      </c>
      <c r="J56" s="3" t="s">
        <v>29</v>
      </c>
      <c r="K56" s="3"/>
    </row>
    <row r="57" spans="1:11" x14ac:dyDescent="0.3">
      <c r="A57" s="4">
        <v>45673</v>
      </c>
      <c r="B57" s="5" t="s">
        <v>25</v>
      </c>
      <c r="C57" s="5" t="s">
        <v>19</v>
      </c>
      <c r="D57" s="5" t="s">
        <v>21</v>
      </c>
      <c r="E57" s="5" t="s">
        <v>22</v>
      </c>
      <c r="F57" s="5">
        <v>155</v>
      </c>
      <c r="G57" s="49">
        <v>9.9</v>
      </c>
      <c r="H57" s="49">
        <v>1534.5</v>
      </c>
      <c r="I57" s="5" t="s">
        <v>28</v>
      </c>
      <c r="J57" s="5" t="s">
        <v>29</v>
      </c>
      <c r="K57" s="5" t="s">
        <v>17</v>
      </c>
    </row>
    <row r="58" spans="1:11" x14ac:dyDescent="0.3">
      <c r="A58" s="2">
        <v>45674</v>
      </c>
      <c r="B58" s="3" t="s">
        <v>34</v>
      </c>
      <c r="C58" s="3" t="s">
        <v>45</v>
      </c>
      <c r="D58" s="3" t="s">
        <v>13</v>
      </c>
      <c r="E58" s="3" t="s">
        <v>14</v>
      </c>
      <c r="F58" s="3">
        <v>44</v>
      </c>
      <c r="G58" s="48">
        <v>45.17</v>
      </c>
      <c r="H58" s="48">
        <v>1987.48</v>
      </c>
      <c r="I58" s="3" t="s">
        <v>15</v>
      </c>
      <c r="J58" s="3" t="s">
        <v>16</v>
      </c>
      <c r="K58" s="3" t="s">
        <v>17</v>
      </c>
    </row>
    <row r="59" spans="1:11" x14ac:dyDescent="0.3">
      <c r="A59" s="4">
        <v>45674</v>
      </c>
      <c r="B59" s="5" t="s">
        <v>36</v>
      </c>
      <c r="C59" s="5" t="s">
        <v>19</v>
      </c>
      <c r="D59" s="5" t="s">
        <v>58</v>
      </c>
      <c r="E59" s="5" t="s">
        <v>22</v>
      </c>
      <c r="F59" s="5">
        <v>93</v>
      </c>
      <c r="G59" s="49">
        <v>24.04</v>
      </c>
      <c r="H59" s="49">
        <v>2235.7199999999998</v>
      </c>
      <c r="I59" s="5" t="s">
        <v>15</v>
      </c>
      <c r="J59" s="5" t="s">
        <v>16</v>
      </c>
      <c r="K59" s="5"/>
    </row>
    <row r="60" spans="1:11" x14ac:dyDescent="0.3">
      <c r="A60" s="2">
        <v>45674</v>
      </c>
      <c r="B60" s="3" t="s">
        <v>25</v>
      </c>
      <c r="C60" s="3" t="s">
        <v>12</v>
      </c>
      <c r="D60" s="3" t="s">
        <v>49</v>
      </c>
      <c r="E60" s="3" t="s">
        <v>50</v>
      </c>
      <c r="F60" s="3">
        <v>167</v>
      </c>
      <c r="G60" s="48">
        <v>19.440000000000001</v>
      </c>
      <c r="H60" s="48">
        <v>3246.48</v>
      </c>
      <c r="I60" s="3" t="s">
        <v>41</v>
      </c>
      <c r="J60" s="3" t="s">
        <v>29</v>
      </c>
      <c r="K60" s="3" t="s">
        <v>33</v>
      </c>
    </row>
    <row r="61" spans="1:11" x14ac:dyDescent="0.3">
      <c r="A61" s="4">
        <v>45674</v>
      </c>
      <c r="B61" s="5" t="s">
        <v>36</v>
      </c>
      <c r="C61" s="5" t="s">
        <v>38</v>
      </c>
      <c r="D61" s="5" t="s">
        <v>48</v>
      </c>
      <c r="E61" s="5" t="s">
        <v>14</v>
      </c>
      <c r="F61" s="5">
        <v>61</v>
      </c>
      <c r="G61" s="49">
        <v>91.67</v>
      </c>
      <c r="H61" s="49">
        <v>5591.87</v>
      </c>
      <c r="I61" s="5" t="s">
        <v>28</v>
      </c>
      <c r="J61" s="5" t="s">
        <v>29</v>
      </c>
      <c r="K61" s="5" t="s">
        <v>24</v>
      </c>
    </row>
    <row r="62" spans="1:11" x14ac:dyDescent="0.3">
      <c r="A62" s="2">
        <v>45675</v>
      </c>
      <c r="B62" s="3" t="s">
        <v>53</v>
      </c>
      <c r="C62" s="3" t="s">
        <v>30</v>
      </c>
      <c r="D62" s="3" t="s">
        <v>54</v>
      </c>
      <c r="E62" s="3" t="s">
        <v>44</v>
      </c>
      <c r="F62" s="3">
        <v>120</v>
      </c>
      <c r="G62" s="48">
        <v>114.2</v>
      </c>
      <c r="H62" s="48">
        <v>13704</v>
      </c>
      <c r="I62" s="3" t="s">
        <v>28</v>
      </c>
      <c r="J62" s="3" t="s">
        <v>47</v>
      </c>
      <c r="K62" s="3"/>
    </row>
    <row r="63" spans="1:11" x14ac:dyDescent="0.3">
      <c r="A63" s="4">
        <v>45675</v>
      </c>
      <c r="B63" s="5" t="s">
        <v>56</v>
      </c>
      <c r="C63" s="5" t="s">
        <v>45</v>
      </c>
      <c r="D63" s="5" t="s">
        <v>58</v>
      </c>
      <c r="E63" s="5" t="s">
        <v>22</v>
      </c>
      <c r="F63" s="5">
        <v>52</v>
      </c>
      <c r="G63" s="49">
        <v>25.89</v>
      </c>
      <c r="H63" s="49">
        <v>1346.28</v>
      </c>
      <c r="I63" s="5" t="s">
        <v>15</v>
      </c>
      <c r="J63" s="5" t="s">
        <v>29</v>
      </c>
      <c r="K63" s="5"/>
    </row>
    <row r="64" spans="1:11" x14ac:dyDescent="0.3">
      <c r="A64" s="2">
        <v>45675</v>
      </c>
      <c r="B64" s="3" t="s">
        <v>25</v>
      </c>
      <c r="C64" s="3" t="s">
        <v>12</v>
      </c>
      <c r="D64" s="3" t="s">
        <v>31</v>
      </c>
      <c r="E64" s="3" t="s">
        <v>32</v>
      </c>
      <c r="F64" s="3">
        <v>77</v>
      </c>
      <c r="G64" s="48">
        <v>11.91</v>
      </c>
      <c r="H64" s="48">
        <v>917.07</v>
      </c>
      <c r="I64" s="3" t="s">
        <v>23</v>
      </c>
      <c r="J64" s="3" t="s">
        <v>16</v>
      </c>
      <c r="K64" s="3" t="s">
        <v>42</v>
      </c>
    </row>
    <row r="65" spans="1:11" x14ac:dyDescent="0.3">
      <c r="A65" s="4">
        <v>45675</v>
      </c>
      <c r="B65" s="5" t="s">
        <v>11</v>
      </c>
      <c r="C65" s="5" t="s">
        <v>19</v>
      </c>
      <c r="D65" s="5" t="s">
        <v>43</v>
      </c>
      <c r="E65" s="5" t="s">
        <v>44</v>
      </c>
      <c r="F65" s="5">
        <v>13</v>
      </c>
      <c r="G65" s="49">
        <v>129.83000000000001</v>
      </c>
      <c r="H65" s="49">
        <v>1687.79</v>
      </c>
      <c r="I65" s="5" t="s">
        <v>37</v>
      </c>
      <c r="J65" s="5" t="s">
        <v>16</v>
      </c>
      <c r="K65" s="5"/>
    </row>
    <row r="66" spans="1:11" x14ac:dyDescent="0.3">
      <c r="A66" s="2">
        <v>45676</v>
      </c>
      <c r="B66" s="3" t="s">
        <v>20</v>
      </c>
      <c r="C66" s="3" t="s">
        <v>19</v>
      </c>
      <c r="D66" s="3" t="s">
        <v>59</v>
      </c>
      <c r="E66" s="3" t="s">
        <v>50</v>
      </c>
      <c r="F66" s="3">
        <v>170</v>
      </c>
      <c r="G66" s="48">
        <v>31.46</v>
      </c>
      <c r="H66" s="48">
        <v>5348.2</v>
      </c>
      <c r="I66" s="3" t="s">
        <v>15</v>
      </c>
      <c r="J66" s="3" t="s">
        <v>16</v>
      </c>
      <c r="K66" s="3"/>
    </row>
    <row r="67" spans="1:11" x14ac:dyDescent="0.3">
      <c r="A67" s="4">
        <v>45676</v>
      </c>
      <c r="B67" s="5" t="s">
        <v>20</v>
      </c>
      <c r="C67" s="5" t="s">
        <v>12</v>
      </c>
      <c r="D67" s="5" t="s">
        <v>54</v>
      </c>
      <c r="E67" s="5" t="s">
        <v>44</v>
      </c>
      <c r="F67" s="5">
        <v>197</v>
      </c>
      <c r="G67" s="49">
        <v>103.02</v>
      </c>
      <c r="H67" s="49">
        <v>20294.939999999999</v>
      </c>
      <c r="I67" s="5" t="s">
        <v>37</v>
      </c>
      <c r="J67" s="5" t="s">
        <v>29</v>
      </c>
      <c r="K67" s="5"/>
    </row>
    <row r="68" spans="1:11" x14ac:dyDescent="0.3">
      <c r="A68" s="2">
        <v>45676</v>
      </c>
      <c r="B68" s="3" t="s">
        <v>11</v>
      </c>
      <c r="C68" s="3" t="s">
        <v>45</v>
      </c>
      <c r="D68" s="3" t="s">
        <v>26</v>
      </c>
      <c r="E68" s="3" t="s">
        <v>27</v>
      </c>
      <c r="F68" s="3">
        <v>23</v>
      </c>
      <c r="G68" s="48">
        <v>51.88</v>
      </c>
      <c r="H68" s="48">
        <v>1193.24</v>
      </c>
      <c r="I68" s="3" t="s">
        <v>41</v>
      </c>
      <c r="J68" s="3" t="s">
        <v>29</v>
      </c>
      <c r="K68" s="3"/>
    </row>
    <row r="69" spans="1:11" x14ac:dyDescent="0.3">
      <c r="A69" s="4">
        <v>45677</v>
      </c>
      <c r="B69" s="5" t="s">
        <v>56</v>
      </c>
      <c r="C69" s="5" t="s">
        <v>12</v>
      </c>
      <c r="D69" s="5" t="s">
        <v>59</v>
      </c>
      <c r="E69" s="5" t="s">
        <v>50</v>
      </c>
      <c r="F69" s="5">
        <v>120</v>
      </c>
      <c r="G69" s="49">
        <v>28.12</v>
      </c>
      <c r="H69" s="49">
        <v>3374.4</v>
      </c>
      <c r="I69" s="5" t="s">
        <v>15</v>
      </c>
      <c r="J69" s="5" t="s">
        <v>16</v>
      </c>
      <c r="K69" s="5"/>
    </row>
    <row r="70" spans="1:11" x14ac:dyDescent="0.3">
      <c r="A70" s="2">
        <v>45677</v>
      </c>
      <c r="B70" s="3" t="s">
        <v>34</v>
      </c>
      <c r="C70" s="3" t="s">
        <v>45</v>
      </c>
      <c r="D70" s="3" t="s">
        <v>59</v>
      </c>
      <c r="E70" s="3" t="s">
        <v>50</v>
      </c>
      <c r="F70" s="3">
        <v>86</v>
      </c>
      <c r="G70" s="48">
        <v>30.19</v>
      </c>
      <c r="H70" s="48">
        <v>2596.34</v>
      </c>
      <c r="I70" s="3" t="s">
        <v>37</v>
      </c>
      <c r="J70" s="3" t="s">
        <v>47</v>
      </c>
      <c r="K70" s="3" t="s">
        <v>46</v>
      </c>
    </row>
    <row r="71" spans="1:11" x14ac:dyDescent="0.3">
      <c r="A71" s="4">
        <v>45678</v>
      </c>
      <c r="B71" s="5" t="s">
        <v>20</v>
      </c>
      <c r="C71" s="5" t="s">
        <v>30</v>
      </c>
      <c r="D71" s="5" t="s">
        <v>13</v>
      </c>
      <c r="E71" s="5" t="s">
        <v>14</v>
      </c>
      <c r="F71" s="5">
        <v>81</v>
      </c>
      <c r="G71" s="49">
        <v>47.41</v>
      </c>
      <c r="H71" s="49">
        <v>3840.21</v>
      </c>
      <c r="I71" s="5" t="s">
        <v>23</v>
      </c>
      <c r="J71" s="5" t="s">
        <v>16</v>
      </c>
      <c r="K71" s="5"/>
    </row>
    <row r="72" spans="1:11" x14ac:dyDescent="0.3">
      <c r="A72" s="2">
        <v>45678</v>
      </c>
      <c r="B72" s="3" t="s">
        <v>62</v>
      </c>
      <c r="C72" s="3" t="s">
        <v>12</v>
      </c>
      <c r="D72" s="3" t="s">
        <v>39</v>
      </c>
      <c r="E72" s="3" t="s">
        <v>40</v>
      </c>
      <c r="F72" s="3">
        <v>92</v>
      </c>
      <c r="G72" s="48">
        <v>50.83</v>
      </c>
      <c r="H72" s="48">
        <v>4676.3599999999997</v>
      </c>
      <c r="I72" s="3" t="s">
        <v>23</v>
      </c>
      <c r="J72" s="3" t="s">
        <v>47</v>
      </c>
      <c r="K72" s="3" t="s">
        <v>24</v>
      </c>
    </row>
    <row r="73" spans="1:11" x14ac:dyDescent="0.3">
      <c r="A73" s="4">
        <v>45678</v>
      </c>
      <c r="B73" s="5" t="s">
        <v>56</v>
      </c>
      <c r="C73" s="5" t="s">
        <v>12</v>
      </c>
      <c r="D73" s="5" t="s">
        <v>13</v>
      </c>
      <c r="E73" s="5" t="s">
        <v>14</v>
      </c>
      <c r="F73" s="5">
        <v>167</v>
      </c>
      <c r="G73" s="49">
        <v>43.46</v>
      </c>
      <c r="H73" s="49">
        <v>7257.82</v>
      </c>
      <c r="I73" s="5" t="s">
        <v>15</v>
      </c>
      <c r="J73" s="5" t="s">
        <v>47</v>
      </c>
      <c r="K73" s="5" t="s">
        <v>17</v>
      </c>
    </row>
    <row r="74" spans="1:11" x14ac:dyDescent="0.3">
      <c r="A74" s="2">
        <v>45678</v>
      </c>
      <c r="B74" s="3" t="s">
        <v>11</v>
      </c>
      <c r="C74" s="3" t="s">
        <v>45</v>
      </c>
      <c r="D74" s="3" t="s">
        <v>60</v>
      </c>
      <c r="E74" s="3" t="s">
        <v>44</v>
      </c>
      <c r="F74" s="3">
        <v>148</v>
      </c>
      <c r="G74" s="48">
        <v>126.68</v>
      </c>
      <c r="H74" s="48">
        <v>18748.64</v>
      </c>
      <c r="I74" s="3" t="s">
        <v>41</v>
      </c>
      <c r="J74" s="3" t="s">
        <v>47</v>
      </c>
      <c r="K74" s="3" t="s">
        <v>46</v>
      </c>
    </row>
    <row r="75" spans="1:11" x14ac:dyDescent="0.3">
      <c r="A75" s="4">
        <v>45678</v>
      </c>
      <c r="B75" s="5" t="s">
        <v>25</v>
      </c>
      <c r="C75" s="5" t="s">
        <v>19</v>
      </c>
      <c r="D75" s="5" t="s">
        <v>35</v>
      </c>
      <c r="E75" s="5" t="s">
        <v>32</v>
      </c>
      <c r="F75" s="5">
        <v>90</v>
      </c>
      <c r="G75" s="49">
        <v>13.53</v>
      </c>
      <c r="H75" s="49">
        <v>1217.7</v>
      </c>
      <c r="I75" s="5" t="s">
        <v>23</v>
      </c>
      <c r="J75" s="5" t="s">
        <v>16</v>
      </c>
      <c r="K75" s="5" t="s">
        <v>42</v>
      </c>
    </row>
    <row r="76" spans="1:11" x14ac:dyDescent="0.3">
      <c r="A76" s="2">
        <v>45679</v>
      </c>
      <c r="B76" s="3" t="s">
        <v>11</v>
      </c>
      <c r="C76" s="3" t="s">
        <v>12</v>
      </c>
      <c r="D76" s="3" t="s">
        <v>58</v>
      </c>
      <c r="E76" s="3" t="s">
        <v>22</v>
      </c>
      <c r="F76" s="3">
        <v>94</v>
      </c>
      <c r="G76" s="48">
        <v>26.43</v>
      </c>
      <c r="H76" s="48">
        <v>2484.42</v>
      </c>
      <c r="I76" s="3" t="s">
        <v>41</v>
      </c>
      <c r="J76" s="3" t="s">
        <v>16</v>
      </c>
      <c r="K76" s="3" t="s">
        <v>17</v>
      </c>
    </row>
    <row r="77" spans="1:11" x14ac:dyDescent="0.3">
      <c r="A77" s="4">
        <v>45679</v>
      </c>
      <c r="B77" s="5" t="s">
        <v>53</v>
      </c>
      <c r="C77" s="5" t="s">
        <v>45</v>
      </c>
      <c r="D77" s="5" t="s">
        <v>43</v>
      </c>
      <c r="E77" s="5" t="s">
        <v>44</v>
      </c>
      <c r="F77" s="5">
        <v>173</v>
      </c>
      <c r="G77" s="49">
        <v>121.16</v>
      </c>
      <c r="H77" s="49">
        <v>20960.68</v>
      </c>
      <c r="I77" s="5" t="s">
        <v>28</v>
      </c>
      <c r="J77" s="5" t="s">
        <v>16</v>
      </c>
      <c r="K77" s="5" t="s">
        <v>42</v>
      </c>
    </row>
    <row r="78" spans="1:11" x14ac:dyDescent="0.3">
      <c r="A78" s="2">
        <v>45679</v>
      </c>
      <c r="B78" s="3" t="s">
        <v>36</v>
      </c>
      <c r="C78" s="3" t="s">
        <v>45</v>
      </c>
      <c r="D78" s="3" t="s">
        <v>13</v>
      </c>
      <c r="E78" s="3" t="s">
        <v>14</v>
      </c>
      <c r="F78" s="3">
        <v>160</v>
      </c>
      <c r="G78" s="48">
        <v>41.84</v>
      </c>
      <c r="H78" s="48">
        <v>6694.4</v>
      </c>
      <c r="I78" s="3" t="s">
        <v>28</v>
      </c>
      <c r="J78" s="3" t="s">
        <v>47</v>
      </c>
      <c r="K78" s="3"/>
    </row>
    <row r="79" spans="1:11" x14ac:dyDescent="0.3">
      <c r="A79" s="4">
        <v>45680</v>
      </c>
      <c r="B79" s="5" t="s">
        <v>56</v>
      </c>
      <c r="C79" s="5" t="s">
        <v>30</v>
      </c>
      <c r="D79" s="5" t="s">
        <v>13</v>
      </c>
      <c r="E79" s="5" t="s">
        <v>14</v>
      </c>
      <c r="F79" s="5">
        <v>55</v>
      </c>
      <c r="G79" s="49">
        <v>43.45</v>
      </c>
      <c r="H79" s="49">
        <v>2389.75</v>
      </c>
      <c r="I79" s="5" t="s">
        <v>23</v>
      </c>
      <c r="J79" s="5" t="s">
        <v>47</v>
      </c>
      <c r="K79" s="5" t="s">
        <v>17</v>
      </c>
    </row>
    <row r="80" spans="1:11" x14ac:dyDescent="0.3">
      <c r="A80" s="2">
        <v>45681</v>
      </c>
      <c r="B80" s="3" t="s">
        <v>56</v>
      </c>
      <c r="C80" s="3" t="s">
        <v>30</v>
      </c>
      <c r="D80" s="3" t="s">
        <v>43</v>
      </c>
      <c r="E80" s="3" t="s">
        <v>44</v>
      </c>
      <c r="F80" s="3">
        <v>170</v>
      </c>
      <c r="G80" s="48">
        <v>133.75</v>
      </c>
      <c r="H80" s="48">
        <v>22737.5</v>
      </c>
      <c r="I80" s="3" t="s">
        <v>15</v>
      </c>
      <c r="J80" s="3" t="s">
        <v>47</v>
      </c>
      <c r="K80" s="3" t="s">
        <v>46</v>
      </c>
    </row>
    <row r="81" spans="1:11" x14ac:dyDescent="0.3">
      <c r="A81" s="4">
        <v>45681</v>
      </c>
      <c r="B81" s="5" t="s">
        <v>63</v>
      </c>
      <c r="C81" s="5" t="s">
        <v>12</v>
      </c>
      <c r="D81" s="5" t="s">
        <v>48</v>
      </c>
      <c r="E81" s="5" t="s">
        <v>14</v>
      </c>
      <c r="F81" s="5">
        <v>16</v>
      </c>
      <c r="G81" s="49">
        <v>83.59</v>
      </c>
      <c r="H81" s="49">
        <v>1337.44</v>
      </c>
      <c r="I81" s="5" t="s">
        <v>41</v>
      </c>
      <c r="J81" s="5" t="s">
        <v>16</v>
      </c>
      <c r="K81" s="5"/>
    </row>
    <row r="82" spans="1:11" x14ac:dyDescent="0.3">
      <c r="A82" s="2">
        <v>45681</v>
      </c>
      <c r="B82" s="3" t="s">
        <v>25</v>
      </c>
      <c r="C82" s="3" t="s">
        <v>30</v>
      </c>
      <c r="D82" s="3" t="s">
        <v>26</v>
      </c>
      <c r="E82" s="3" t="s">
        <v>27</v>
      </c>
      <c r="F82" s="3">
        <v>65</v>
      </c>
      <c r="G82" s="48">
        <v>53.34</v>
      </c>
      <c r="H82" s="48">
        <v>3467.1</v>
      </c>
      <c r="I82" s="3" t="s">
        <v>37</v>
      </c>
      <c r="J82" s="3" t="s">
        <v>29</v>
      </c>
      <c r="K82" s="3"/>
    </row>
    <row r="83" spans="1:11" x14ac:dyDescent="0.3">
      <c r="A83" s="4">
        <v>45682</v>
      </c>
      <c r="B83" s="5" t="s">
        <v>56</v>
      </c>
      <c r="C83" s="5" t="s">
        <v>38</v>
      </c>
      <c r="D83" s="5" t="s">
        <v>43</v>
      </c>
      <c r="E83" s="5" t="s">
        <v>44</v>
      </c>
      <c r="F83" s="5">
        <v>173</v>
      </c>
      <c r="G83" s="49">
        <v>121.3</v>
      </c>
      <c r="H83" s="49">
        <v>20984.9</v>
      </c>
      <c r="I83" s="5" t="s">
        <v>15</v>
      </c>
      <c r="J83" s="5" t="s">
        <v>29</v>
      </c>
      <c r="K83" s="5" t="s">
        <v>24</v>
      </c>
    </row>
    <row r="84" spans="1:11" x14ac:dyDescent="0.3">
      <c r="A84" s="2">
        <v>45682</v>
      </c>
      <c r="B84" s="3" t="s">
        <v>53</v>
      </c>
      <c r="C84" s="3" t="s">
        <v>30</v>
      </c>
      <c r="D84" s="3" t="s">
        <v>49</v>
      </c>
      <c r="E84" s="3" t="s">
        <v>50</v>
      </c>
      <c r="F84" s="3">
        <v>43</v>
      </c>
      <c r="G84" s="48">
        <v>18.5</v>
      </c>
      <c r="H84" s="48">
        <v>795.5</v>
      </c>
      <c r="I84" s="3" t="s">
        <v>23</v>
      </c>
      <c r="J84" s="3" t="s">
        <v>16</v>
      </c>
      <c r="K84" s="3" t="s">
        <v>17</v>
      </c>
    </row>
    <row r="85" spans="1:11" x14ac:dyDescent="0.3">
      <c r="A85" s="4">
        <v>45682</v>
      </c>
      <c r="B85" s="5" t="s">
        <v>11</v>
      </c>
      <c r="C85" s="5" t="s">
        <v>38</v>
      </c>
      <c r="D85" s="5" t="s">
        <v>31</v>
      </c>
      <c r="E85" s="5" t="s">
        <v>32</v>
      </c>
      <c r="F85" s="5">
        <v>113</v>
      </c>
      <c r="G85" s="49">
        <v>11.25</v>
      </c>
      <c r="H85" s="49">
        <v>1271.25</v>
      </c>
      <c r="I85" s="5" t="s">
        <v>15</v>
      </c>
      <c r="J85" s="5" t="s">
        <v>29</v>
      </c>
      <c r="K85" s="5"/>
    </row>
    <row r="86" spans="1:11" x14ac:dyDescent="0.3">
      <c r="A86" s="2">
        <v>45683</v>
      </c>
      <c r="B86" s="3" t="s">
        <v>36</v>
      </c>
      <c r="C86" s="3" t="s">
        <v>45</v>
      </c>
      <c r="D86" s="3" t="s">
        <v>58</v>
      </c>
      <c r="E86" s="3" t="s">
        <v>22</v>
      </c>
      <c r="F86" s="3">
        <v>101</v>
      </c>
      <c r="G86" s="48">
        <v>24.1</v>
      </c>
      <c r="H86" s="48">
        <v>2434.1</v>
      </c>
      <c r="I86" s="3" t="s">
        <v>15</v>
      </c>
      <c r="J86" s="3" t="s">
        <v>29</v>
      </c>
      <c r="K86" s="3"/>
    </row>
    <row r="87" spans="1:11" x14ac:dyDescent="0.3">
      <c r="A87" s="4">
        <v>45683</v>
      </c>
      <c r="B87" s="5" t="s">
        <v>25</v>
      </c>
      <c r="C87" s="5" t="s">
        <v>30</v>
      </c>
      <c r="D87" s="5" t="s">
        <v>21</v>
      </c>
      <c r="E87" s="5" t="s">
        <v>22</v>
      </c>
      <c r="F87" s="5">
        <v>196</v>
      </c>
      <c r="G87" s="49">
        <v>10.74</v>
      </c>
      <c r="H87" s="49">
        <v>2105.04</v>
      </c>
      <c r="I87" s="5" t="s">
        <v>15</v>
      </c>
      <c r="J87" s="5" t="s">
        <v>16</v>
      </c>
      <c r="K87" s="5" t="s">
        <v>24</v>
      </c>
    </row>
    <row r="88" spans="1:11" x14ac:dyDescent="0.3">
      <c r="A88" s="2">
        <v>45683</v>
      </c>
      <c r="B88" s="3" t="s">
        <v>64</v>
      </c>
      <c r="C88" s="3" t="s">
        <v>30</v>
      </c>
      <c r="D88" s="3" t="s">
        <v>49</v>
      </c>
      <c r="E88" s="3" t="s">
        <v>50</v>
      </c>
      <c r="F88" s="3">
        <v>84</v>
      </c>
      <c r="G88" s="48">
        <v>20.57</v>
      </c>
      <c r="H88" s="48">
        <v>1727.88</v>
      </c>
      <c r="I88" s="3" t="s">
        <v>41</v>
      </c>
      <c r="J88" s="3" t="s">
        <v>16</v>
      </c>
      <c r="K88" s="3"/>
    </row>
    <row r="89" spans="1:11" x14ac:dyDescent="0.3">
      <c r="A89" s="4">
        <v>45683</v>
      </c>
      <c r="B89" s="5" t="s">
        <v>25</v>
      </c>
      <c r="C89" s="5" t="s">
        <v>30</v>
      </c>
      <c r="D89" s="5" t="s">
        <v>35</v>
      </c>
      <c r="E89" s="5" t="s">
        <v>32</v>
      </c>
      <c r="F89" s="5">
        <v>75</v>
      </c>
      <c r="G89" s="49">
        <v>14.29</v>
      </c>
      <c r="H89" s="49">
        <v>1071.75</v>
      </c>
      <c r="I89" s="5" t="s">
        <v>41</v>
      </c>
      <c r="J89" s="5" t="s">
        <v>16</v>
      </c>
      <c r="K89" s="5" t="s">
        <v>24</v>
      </c>
    </row>
    <row r="90" spans="1:11" x14ac:dyDescent="0.3">
      <c r="A90" s="2">
        <v>45683</v>
      </c>
      <c r="B90" s="3" t="s">
        <v>20</v>
      </c>
      <c r="C90" s="3" t="s">
        <v>45</v>
      </c>
      <c r="D90" s="3" t="s">
        <v>13</v>
      </c>
      <c r="E90" s="3" t="s">
        <v>14</v>
      </c>
      <c r="F90" s="3">
        <v>58</v>
      </c>
      <c r="G90" s="48">
        <v>46.13</v>
      </c>
      <c r="H90" s="48">
        <v>2675.54</v>
      </c>
      <c r="I90" s="3" t="s">
        <v>23</v>
      </c>
      <c r="J90" s="3" t="s">
        <v>47</v>
      </c>
      <c r="K90" s="3"/>
    </row>
    <row r="91" spans="1:11" x14ac:dyDescent="0.3">
      <c r="A91" s="4">
        <v>45683</v>
      </c>
      <c r="B91" s="5" t="s">
        <v>18</v>
      </c>
      <c r="C91" s="5" t="s">
        <v>38</v>
      </c>
      <c r="D91" s="5" t="s">
        <v>60</v>
      </c>
      <c r="E91" s="5" t="s">
        <v>44</v>
      </c>
      <c r="F91" s="5">
        <v>134</v>
      </c>
      <c r="G91" s="49">
        <v>110.54</v>
      </c>
      <c r="H91" s="49">
        <v>14812.36</v>
      </c>
      <c r="I91" s="5" t="s">
        <v>37</v>
      </c>
      <c r="J91" s="5" t="s">
        <v>47</v>
      </c>
      <c r="K91" s="5" t="s">
        <v>17</v>
      </c>
    </row>
    <row r="92" spans="1:11" x14ac:dyDescent="0.3">
      <c r="A92" s="2">
        <v>45683</v>
      </c>
      <c r="B92" s="3" t="s">
        <v>56</v>
      </c>
      <c r="C92" s="3" t="s">
        <v>30</v>
      </c>
      <c r="D92" s="3" t="s">
        <v>26</v>
      </c>
      <c r="E92" s="3" t="s">
        <v>27</v>
      </c>
      <c r="F92" s="3"/>
      <c r="G92" s="48"/>
      <c r="H92" s="48"/>
      <c r="I92" s="3" t="s">
        <v>15</v>
      </c>
      <c r="J92" s="3" t="s">
        <v>16</v>
      </c>
      <c r="K92" s="3"/>
    </row>
    <row r="93" spans="1:11" x14ac:dyDescent="0.3">
      <c r="A93" s="4">
        <v>45684</v>
      </c>
      <c r="B93" s="5" t="s">
        <v>25</v>
      </c>
      <c r="C93" s="5" t="s">
        <v>19</v>
      </c>
      <c r="D93" s="5" t="s">
        <v>48</v>
      </c>
      <c r="E93" s="5" t="s">
        <v>14</v>
      </c>
      <c r="F93" s="5">
        <v>60</v>
      </c>
      <c r="G93" s="49">
        <v>81.77</v>
      </c>
      <c r="H93" s="49">
        <v>4906.2</v>
      </c>
      <c r="I93" s="5" t="s">
        <v>41</v>
      </c>
      <c r="J93" s="5" t="s">
        <v>16</v>
      </c>
      <c r="K93" s="5"/>
    </row>
    <row r="94" spans="1:11" x14ac:dyDescent="0.3">
      <c r="A94" s="2">
        <v>45684</v>
      </c>
      <c r="B94" s="3" t="s">
        <v>18</v>
      </c>
      <c r="C94" s="3" t="s">
        <v>45</v>
      </c>
      <c r="D94" s="3" t="s">
        <v>21</v>
      </c>
      <c r="E94" s="3" t="s">
        <v>22</v>
      </c>
      <c r="F94" s="3">
        <v>92</v>
      </c>
      <c r="G94" s="48">
        <v>9.82</v>
      </c>
      <c r="H94" s="48">
        <v>903.44</v>
      </c>
      <c r="I94" s="3" t="s">
        <v>28</v>
      </c>
      <c r="J94" s="3" t="s">
        <v>16</v>
      </c>
      <c r="K94" s="3" t="s">
        <v>24</v>
      </c>
    </row>
    <row r="95" spans="1:11" x14ac:dyDescent="0.3">
      <c r="A95" s="4">
        <v>45685</v>
      </c>
      <c r="B95" s="5" t="s">
        <v>20</v>
      </c>
      <c r="C95" s="5" t="s">
        <v>38</v>
      </c>
      <c r="D95" s="5" t="s">
        <v>35</v>
      </c>
      <c r="E95" s="5" t="s">
        <v>32</v>
      </c>
      <c r="F95" s="5">
        <v>147</v>
      </c>
      <c r="G95" s="49">
        <v>13.83</v>
      </c>
      <c r="H95" s="49">
        <v>2033.01</v>
      </c>
      <c r="I95" s="5" t="s">
        <v>15</v>
      </c>
      <c r="J95" s="5" t="s">
        <v>16</v>
      </c>
      <c r="K95" s="5" t="s">
        <v>46</v>
      </c>
    </row>
    <row r="96" spans="1:11" x14ac:dyDescent="0.3">
      <c r="A96" s="2">
        <v>45685</v>
      </c>
      <c r="B96" s="3" t="s">
        <v>20</v>
      </c>
      <c r="C96" s="3" t="s">
        <v>12</v>
      </c>
      <c r="D96" s="3" t="s">
        <v>21</v>
      </c>
      <c r="E96" s="3" t="s">
        <v>22</v>
      </c>
      <c r="F96" s="3">
        <v>101</v>
      </c>
      <c r="G96" s="48">
        <v>10.79</v>
      </c>
      <c r="H96" s="48">
        <v>1089.79</v>
      </c>
      <c r="I96" s="3" t="s">
        <v>23</v>
      </c>
      <c r="J96" s="3" t="s">
        <v>29</v>
      </c>
      <c r="K96" s="3"/>
    </row>
    <row r="97" spans="1:11" x14ac:dyDescent="0.3">
      <c r="A97" s="4">
        <v>45685</v>
      </c>
      <c r="B97" s="5" t="s">
        <v>53</v>
      </c>
      <c r="C97" s="5" t="s">
        <v>45</v>
      </c>
      <c r="D97" s="5" t="s">
        <v>43</v>
      </c>
      <c r="E97" s="5" t="s">
        <v>44</v>
      </c>
      <c r="F97" s="5">
        <v>71</v>
      </c>
      <c r="G97" s="49">
        <v>130.55000000000001</v>
      </c>
      <c r="H97" s="49">
        <v>9269.0499999999993</v>
      </c>
      <c r="I97" s="5" t="s">
        <v>23</v>
      </c>
      <c r="J97" s="5" t="s">
        <v>29</v>
      </c>
      <c r="K97" s="5" t="s">
        <v>17</v>
      </c>
    </row>
    <row r="98" spans="1:11" x14ac:dyDescent="0.3">
      <c r="A98" s="2">
        <v>45686</v>
      </c>
      <c r="B98" s="3" t="s">
        <v>36</v>
      </c>
      <c r="C98" s="3" t="s">
        <v>19</v>
      </c>
      <c r="D98" s="3" t="s">
        <v>35</v>
      </c>
      <c r="E98" s="3" t="s">
        <v>32</v>
      </c>
      <c r="F98" s="3">
        <v>24</v>
      </c>
      <c r="G98" s="48">
        <v>14.15</v>
      </c>
      <c r="H98" s="48">
        <v>339.6</v>
      </c>
      <c r="I98" s="3" t="s">
        <v>37</v>
      </c>
      <c r="J98" s="3" t="s">
        <v>16</v>
      </c>
      <c r="K98" s="3"/>
    </row>
    <row r="99" spans="1:11" x14ac:dyDescent="0.3">
      <c r="A99" s="4">
        <v>45686</v>
      </c>
      <c r="B99" s="5" t="s">
        <v>18</v>
      </c>
      <c r="C99" s="5" t="s">
        <v>19</v>
      </c>
      <c r="D99" s="5" t="s">
        <v>26</v>
      </c>
      <c r="E99" s="5" t="s">
        <v>27</v>
      </c>
      <c r="F99" s="5">
        <v>168</v>
      </c>
      <c r="G99" s="49">
        <v>53.82</v>
      </c>
      <c r="H99" s="49">
        <v>9041.76</v>
      </c>
      <c r="I99" s="5" t="s">
        <v>37</v>
      </c>
      <c r="J99" s="5" t="s">
        <v>47</v>
      </c>
      <c r="K99" s="5" t="s">
        <v>42</v>
      </c>
    </row>
    <row r="100" spans="1:11" x14ac:dyDescent="0.3">
      <c r="A100" s="2">
        <v>45686</v>
      </c>
      <c r="B100" s="3" t="s">
        <v>53</v>
      </c>
      <c r="C100" s="3" t="s">
        <v>45</v>
      </c>
      <c r="D100" s="3" t="s">
        <v>58</v>
      </c>
      <c r="E100" s="3" t="s">
        <v>22</v>
      </c>
      <c r="F100" s="3">
        <v>158</v>
      </c>
      <c r="G100" s="48">
        <v>26.73</v>
      </c>
      <c r="H100" s="48">
        <v>4223.34</v>
      </c>
      <c r="I100" s="3" t="s">
        <v>41</v>
      </c>
      <c r="J100" s="3" t="s">
        <v>16</v>
      </c>
      <c r="K100" s="3" t="s">
        <v>42</v>
      </c>
    </row>
    <row r="101" spans="1:11" x14ac:dyDescent="0.3">
      <c r="A101" s="4">
        <v>45687</v>
      </c>
      <c r="B101" s="5" t="s">
        <v>34</v>
      </c>
      <c r="C101" s="5" t="s">
        <v>38</v>
      </c>
      <c r="D101" s="5" t="s">
        <v>21</v>
      </c>
      <c r="E101" s="5" t="s">
        <v>22</v>
      </c>
      <c r="F101" s="5"/>
      <c r="G101" s="49">
        <v>10.15</v>
      </c>
      <c r="H101" s="49"/>
      <c r="I101" s="5" t="s">
        <v>23</v>
      </c>
      <c r="J101" s="5" t="s">
        <v>29</v>
      </c>
      <c r="K101" s="5" t="s">
        <v>33</v>
      </c>
    </row>
    <row r="102" spans="1:11" x14ac:dyDescent="0.3">
      <c r="A102" s="2">
        <v>45687</v>
      </c>
      <c r="B102" s="3" t="s">
        <v>18</v>
      </c>
      <c r="C102" s="3" t="s">
        <v>45</v>
      </c>
      <c r="D102" s="3" t="s">
        <v>49</v>
      </c>
      <c r="E102" s="3" t="s">
        <v>50</v>
      </c>
      <c r="F102" s="3">
        <v>10</v>
      </c>
      <c r="G102" s="48">
        <v>20.14</v>
      </c>
      <c r="H102" s="48">
        <v>201.4</v>
      </c>
      <c r="I102" s="3" t="s">
        <v>15</v>
      </c>
      <c r="J102" s="3" t="s">
        <v>16</v>
      </c>
      <c r="K102" s="3" t="s">
        <v>17</v>
      </c>
    </row>
    <row r="103" spans="1:11" x14ac:dyDescent="0.3">
      <c r="A103" s="4">
        <v>45687</v>
      </c>
      <c r="B103" s="5" t="s">
        <v>25</v>
      </c>
      <c r="C103" s="5" t="s">
        <v>30</v>
      </c>
      <c r="D103" s="5" t="s">
        <v>60</v>
      </c>
      <c r="E103" s="5" t="s">
        <v>44</v>
      </c>
      <c r="F103" s="5">
        <v>87</v>
      </c>
      <c r="G103" s="49">
        <v>112.63</v>
      </c>
      <c r="H103" s="49">
        <v>9798.81</v>
      </c>
      <c r="I103" s="5" t="s">
        <v>28</v>
      </c>
      <c r="J103" s="5" t="s">
        <v>29</v>
      </c>
      <c r="K103" s="5" t="s">
        <v>46</v>
      </c>
    </row>
    <row r="104" spans="1:11" x14ac:dyDescent="0.3">
      <c r="A104" s="2">
        <v>45687</v>
      </c>
      <c r="B104" s="3" t="s">
        <v>65</v>
      </c>
      <c r="C104" s="3" t="s">
        <v>45</v>
      </c>
      <c r="D104" s="3" t="s">
        <v>35</v>
      </c>
      <c r="E104" s="3" t="s">
        <v>32</v>
      </c>
      <c r="F104" s="3">
        <v>119</v>
      </c>
      <c r="G104" s="48">
        <v>15.06</v>
      </c>
      <c r="H104" s="48">
        <v>1792.14</v>
      </c>
      <c r="I104" s="3" t="s">
        <v>15</v>
      </c>
      <c r="J104" s="3" t="s">
        <v>47</v>
      </c>
      <c r="K104" s="3" t="s">
        <v>24</v>
      </c>
    </row>
    <row r="105" spans="1:11" x14ac:dyDescent="0.3">
      <c r="A105" s="4">
        <v>45687</v>
      </c>
      <c r="B105" s="5" t="s">
        <v>36</v>
      </c>
      <c r="C105" s="5" t="s">
        <v>19</v>
      </c>
      <c r="D105" s="5" t="s">
        <v>13</v>
      </c>
      <c r="E105" s="5" t="s">
        <v>14</v>
      </c>
      <c r="F105" s="5">
        <v>195</v>
      </c>
      <c r="G105" s="49">
        <v>48.31</v>
      </c>
      <c r="H105" s="49">
        <v>9420.4500000000007</v>
      </c>
      <c r="I105" s="5" t="s">
        <v>15</v>
      </c>
      <c r="J105" s="5" t="s">
        <v>16</v>
      </c>
      <c r="K105" s="5" t="s">
        <v>17</v>
      </c>
    </row>
    <row r="106" spans="1:11" x14ac:dyDescent="0.3">
      <c r="A106" s="2">
        <v>45688</v>
      </c>
      <c r="B106" s="3" t="s">
        <v>20</v>
      </c>
      <c r="C106" s="3" t="s">
        <v>38</v>
      </c>
      <c r="D106" s="3" t="s">
        <v>59</v>
      </c>
      <c r="E106" s="3" t="s">
        <v>50</v>
      </c>
      <c r="F106" s="3">
        <v>198</v>
      </c>
      <c r="G106" s="48">
        <v>29.28</v>
      </c>
      <c r="H106" s="48">
        <v>5797.44</v>
      </c>
      <c r="I106" s="3" t="s">
        <v>15</v>
      </c>
      <c r="J106" s="3" t="s">
        <v>16</v>
      </c>
      <c r="K106" s="3"/>
    </row>
    <row r="107" spans="1:11" x14ac:dyDescent="0.3">
      <c r="A107" s="4">
        <v>45688</v>
      </c>
      <c r="B107" s="5" t="s">
        <v>11</v>
      </c>
      <c r="C107" s="5" t="s">
        <v>19</v>
      </c>
      <c r="D107" s="5" t="s">
        <v>39</v>
      </c>
      <c r="E107" s="5" t="s">
        <v>40</v>
      </c>
      <c r="F107" s="5"/>
      <c r="G107" s="49"/>
      <c r="H107" s="49"/>
      <c r="I107" s="5" t="s">
        <v>23</v>
      </c>
      <c r="J107" s="5" t="s">
        <v>16</v>
      </c>
      <c r="K107" s="5"/>
    </row>
    <row r="108" spans="1:11" x14ac:dyDescent="0.3">
      <c r="A108" s="2">
        <v>45688</v>
      </c>
      <c r="B108" s="3" t="s">
        <v>18</v>
      </c>
      <c r="C108" s="3" t="s">
        <v>12</v>
      </c>
      <c r="D108" s="3" t="s">
        <v>48</v>
      </c>
      <c r="E108" s="3" t="s">
        <v>14</v>
      </c>
      <c r="F108" s="3">
        <v>106</v>
      </c>
      <c r="G108" s="48">
        <v>78.69</v>
      </c>
      <c r="H108" s="48">
        <v>8341.14</v>
      </c>
      <c r="I108" s="3" t="s">
        <v>37</v>
      </c>
      <c r="J108" s="3" t="s">
        <v>16</v>
      </c>
      <c r="K108" s="3" t="s">
        <v>33</v>
      </c>
    </row>
    <row r="109" spans="1:11" x14ac:dyDescent="0.3">
      <c r="A109" s="4">
        <v>45689</v>
      </c>
      <c r="B109" s="5" t="s">
        <v>25</v>
      </c>
      <c r="C109" s="5" t="s">
        <v>12</v>
      </c>
      <c r="D109" s="5" t="s">
        <v>26</v>
      </c>
      <c r="E109" s="5" t="s">
        <v>27</v>
      </c>
      <c r="F109" s="5">
        <v>10</v>
      </c>
      <c r="G109" s="49">
        <v>54.36</v>
      </c>
      <c r="H109" s="49">
        <v>543.6</v>
      </c>
      <c r="I109" s="5" t="s">
        <v>15</v>
      </c>
      <c r="J109" s="5" t="s">
        <v>16</v>
      </c>
      <c r="K109" s="5" t="s">
        <v>24</v>
      </c>
    </row>
    <row r="110" spans="1:11" x14ac:dyDescent="0.3">
      <c r="A110" s="2">
        <v>45689</v>
      </c>
      <c r="B110" s="3" t="s">
        <v>56</v>
      </c>
      <c r="C110" s="3" t="s">
        <v>30</v>
      </c>
      <c r="D110" s="3" t="s">
        <v>21</v>
      </c>
      <c r="E110" s="3" t="s">
        <v>22</v>
      </c>
      <c r="F110" s="3">
        <v>162</v>
      </c>
      <c r="G110" s="48">
        <v>10.08</v>
      </c>
      <c r="H110" s="48">
        <v>1632.96</v>
      </c>
      <c r="I110" s="3" t="s">
        <v>37</v>
      </c>
      <c r="J110" s="3" t="s">
        <v>16</v>
      </c>
      <c r="K110" s="3" t="s">
        <v>46</v>
      </c>
    </row>
    <row r="111" spans="1:11" x14ac:dyDescent="0.3">
      <c r="A111" s="4">
        <v>45690</v>
      </c>
      <c r="B111" s="5" t="s">
        <v>18</v>
      </c>
      <c r="C111" s="5" t="s">
        <v>45</v>
      </c>
      <c r="D111" s="5" t="s">
        <v>54</v>
      </c>
      <c r="E111" s="5" t="s">
        <v>44</v>
      </c>
      <c r="F111" s="5">
        <v>200</v>
      </c>
      <c r="G111" s="49">
        <v>109.09</v>
      </c>
      <c r="H111" s="49">
        <v>21818</v>
      </c>
      <c r="I111" s="5" t="s">
        <v>23</v>
      </c>
      <c r="J111" s="5" t="s">
        <v>29</v>
      </c>
      <c r="K111" s="5"/>
    </row>
    <row r="112" spans="1:11" x14ac:dyDescent="0.3">
      <c r="A112" s="2">
        <v>45690</v>
      </c>
      <c r="B112" s="3" t="s">
        <v>34</v>
      </c>
      <c r="C112" s="3" t="s">
        <v>45</v>
      </c>
      <c r="D112" s="3" t="s">
        <v>58</v>
      </c>
      <c r="E112" s="3" t="s">
        <v>22</v>
      </c>
      <c r="F112" s="3">
        <v>159</v>
      </c>
      <c r="G112" s="48">
        <v>24.3</v>
      </c>
      <c r="H112" s="48">
        <v>3863.7</v>
      </c>
      <c r="I112" s="3" t="s">
        <v>23</v>
      </c>
      <c r="J112" s="3" t="s">
        <v>29</v>
      </c>
      <c r="K112" s="3"/>
    </row>
    <row r="113" spans="1:11" x14ac:dyDescent="0.3">
      <c r="A113" s="4">
        <v>45690</v>
      </c>
      <c r="B113" s="5" t="s">
        <v>53</v>
      </c>
      <c r="C113" s="5" t="s">
        <v>38</v>
      </c>
      <c r="D113" s="5" t="s">
        <v>59</v>
      </c>
      <c r="E113" s="5" t="s">
        <v>50</v>
      </c>
      <c r="F113" s="5">
        <v>175</v>
      </c>
      <c r="G113" s="49">
        <v>29.44</v>
      </c>
      <c r="H113" s="49">
        <v>5152</v>
      </c>
      <c r="I113" s="5" t="s">
        <v>23</v>
      </c>
      <c r="J113" s="5" t="s">
        <v>29</v>
      </c>
      <c r="K113" s="5"/>
    </row>
    <row r="114" spans="1:11" x14ac:dyDescent="0.3">
      <c r="A114" s="2">
        <v>45690</v>
      </c>
      <c r="B114" s="3" t="s">
        <v>34</v>
      </c>
      <c r="C114" s="3" t="s">
        <v>30</v>
      </c>
      <c r="D114" s="3" t="s">
        <v>48</v>
      </c>
      <c r="E114" s="3" t="s">
        <v>14</v>
      </c>
      <c r="F114" s="3">
        <v>150</v>
      </c>
      <c r="G114" s="48">
        <v>78.209999999999994</v>
      </c>
      <c r="H114" s="48">
        <v>11731.5</v>
      </c>
      <c r="I114" s="3" t="s">
        <v>28</v>
      </c>
      <c r="J114" s="3" t="s">
        <v>16</v>
      </c>
      <c r="K114" s="3"/>
    </row>
    <row r="115" spans="1:11" x14ac:dyDescent="0.3">
      <c r="A115" s="4">
        <v>45691</v>
      </c>
      <c r="B115" s="5" t="s">
        <v>34</v>
      </c>
      <c r="C115" s="5" t="s">
        <v>38</v>
      </c>
      <c r="D115" s="5" t="s">
        <v>59</v>
      </c>
      <c r="E115" s="5" t="s">
        <v>50</v>
      </c>
      <c r="F115" s="5">
        <v>76</v>
      </c>
      <c r="G115" s="49">
        <v>29.39</v>
      </c>
      <c r="H115" s="49">
        <v>2233.64</v>
      </c>
      <c r="I115" s="5" t="s">
        <v>23</v>
      </c>
      <c r="J115" s="5" t="s">
        <v>16</v>
      </c>
      <c r="K115" s="5"/>
    </row>
    <row r="116" spans="1:11" x14ac:dyDescent="0.3">
      <c r="A116" s="2">
        <v>45691</v>
      </c>
      <c r="B116" s="3" t="s">
        <v>53</v>
      </c>
      <c r="C116" s="3" t="s">
        <v>19</v>
      </c>
      <c r="D116" s="3" t="s">
        <v>39</v>
      </c>
      <c r="E116" s="3" t="s">
        <v>40</v>
      </c>
      <c r="F116" s="3">
        <v>145</v>
      </c>
      <c r="G116" s="48">
        <v>52.89</v>
      </c>
      <c r="H116" s="48">
        <v>7669.05</v>
      </c>
      <c r="I116" s="3" t="s">
        <v>28</v>
      </c>
      <c r="J116" s="3" t="s">
        <v>29</v>
      </c>
      <c r="K116" s="3" t="s">
        <v>42</v>
      </c>
    </row>
    <row r="117" spans="1:11" x14ac:dyDescent="0.3">
      <c r="A117" s="4">
        <v>45692</v>
      </c>
      <c r="B117" s="5" t="s">
        <v>25</v>
      </c>
      <c r="C117" s="5" t="s">
        <v>12</v>
      </c>
      <c r="D117" s="5" t="s">
        <v>21</v>
      </c>
      <c r="E117" s="5" t="s">
        <v>22</v>
      </c>
      <c r="F117" s="5">
        <v>189</v>
      </c>
      <c r="G117" s="49">
        <v>10.02</v>
      </c>
      <c r="H117" s="49">
        <v>1893.78</v>
      </c>
      <c r="I117" s="5" t="s">
        <v>37</v>
      </c>
      <c r="J117" s="5" t="s">
        <v>16</v>
      </c>
      <c r="K117" s="5"/>
    </row>
    <row r="118" spans="1:11" x14ac:dyDescent="0.3">
      <c r="A118" s="2">
        <v>45692</v>
      </c>
      <c r="B118" s="3" t="s">
        <v>34</v>
      </c>
      <c r="C118" s="3" t="s">
        <v>12</v>
      </c>
      <c r="D118" s="3" t="s">
        <v>59</v>
      </c>
      <c r="E118" s="3" t="s">
        <v>50</v>
      </c>
      <c r="F118" s="3">
        <v>69</v>
      </c>
      <c r="G118" s="48">
        <v>28</v>
      </c>
      <c r="H118" s="48">
        <v>1932</v>
      </c>
      <c r="I118" s="3" t="s">
        <v>23</v>
      </c>
      <c r="J118" s="3" t="s">
        <v>16</v>
      </c>
      <c r="K118" s="3"/>
    </row>
    <row r="119" spans="1:11" x14ac:dyDescent="0.3">
      <c r="A119" s="4">
        <v>45693</v>
      </c>
      <c r="B119" s="5" t="s">
        <v>20</v>
      </c>
      <c r="C119" s="5" t="s">
        <v>12</v>
      </c>
      <c r="D119" s="5" t="s">
        <v>60</v>
      </c>
      <c r="E119" s="5" t="s">
        <v>44</v>
      </c>
      <c r="F119" s="5">
        <v>102</v>
      </c>
      <c r="G119" s="49">
        <v>117.48</v>
      </c>
      <c r="H119" s="49">
        <v>11982.96</v>
      </c>
      <c r="I119" s="5" t="s">
        <v>28</v>
      </c>
      <c r="J119" s="5" t="s">
        <v>47</v>
      </c>
      <c r="K119" s="5" t="s">
        <v>33</v>
      </c>
    </row>
    <row r="120" spans="1:11" x14ac:dyDescent="0.3">
      <c r="A120" s="2">
        <v>45693</v>
      </c>
      <c r="B120" s="3" t="s">
        <v>11</v>
      </c>
      <c r="C120" s="3" t="s">
        <v>19</v>
      </c>
      <c r="D120" s="3" t="s">
        <v>35</v>
      </c>
      <c r="E120" s="3" t="s">
        <v>32</v>
      </c>
      <c r="F120" s="3">
        <v>11</v>
      </c>
      <c r="G120" s="48">
        <v>13.41</v>
      </c>
      <c r="H120" s="48">
        <v>147.51</v>
      </c>
      <c r="I120" s="3" t="s">
        <v>41</v>
      </c>
      <c r="J120" s="3" t="s">
        <v>16</v>
      </c>
      <c r="K120" s="3" t="s">
        <v>24</v>
      </c>
    </row>
    <row r="121" spans="1:11" x14ac:dyDescent="0.3">
      <c r="A121" s="4">
        <v>45693</v>
      </c>
      <c r="B121" s="5" t="s">
        <v>11</v>
      </c>
      <c r="C121" s="5" t="s">
        <v>38</v>
      </c>
      <c r="D121" s="5" t="s">
        <v>52</v>
      </c>
      <c r="E121" s="5" t="s">
        <v>27</v>
      </c>
      <c r="F121" s="5">
        <v>174</v>
      </c>
      <c r="G121" s="49">
        <v>48.18</v>
      </c>
      <c r="H121" s="49">
        <v>8383.32</v>
      </c>
      <c r="I121" s="5" t="s">
        <v>37</v>
      </c>
      <c r="J121" s="5" t="s">
        <v>47</v>
      </c>
      <c r="K121" s="5" t="s">
        <v>33</v>
      </c>
    </row>
    <row r="122" spans="1:11" x14ac:dyDescent="0.3">
      <c r="A122" s="2">
        <v>45693</v>
      </c>
      <c r="B122" s="3" t="s">
        <v>34</v>
      </c>
      <c r="C122" s="3" t="s">
        <v>19</v>
      </c>
      <c r="D122" s="3" t="s">
        <v>59</v>
      </c>
      <c r="E122" s="3" t="s">
        <v>50</v>
      </c>
      <c r="F122" s="3">
        <v>134</v>
      </c>
      <c r="G122" s="48">
        <v>32.020000000000003</v>
      </c>
      <c r="H122" s="48">
        <v>4290.68</v>
      </c>
      <c r="I122" s="3" t="s">
        <v>23</v>
      </c>
      <c r="J122" s="3" t="s">
        <v>47</v>
      </c>
      <c r="K122" s="3" t="s">
        <v>46</v>
      </c>
    </row>
    <row r="123" spans="1:11" x14ac:dyDescent="0.3">
      <c r="A123" s="4">
        <v>45694</v>
      </c>
      <c r="B123" s="5" t="s">
        <v>36</v>
      </c>
      <c r="C123" s="5" t="s">
        <v>19</v>
      </c>
      <c r="D123" s="5" t="s">
        <v>48</v>
      </c>
      <c r="E123" s="5" t="s">
        <v>14</v>
      </c>
      <c r="F123" s="5">
        <v>126</v>
      </c>
      <c r="G123" s="49">
        <v>85.29</v>
      </c>
      <c r="H123" s="49">
        <v>10746.54</v>
      </c>
      <c r="I123" s="5" t="s">
        <v>15</v>
      </c>
      <c r="J123" s="5" t="s">
        <v>29</v>
      </c>
      <c r="K123" s="5"/>
    </row>
    <row r="124" spans="1:11" x14ac:dyDescent="0.3">
      <c r="A124" s="2">
        <v>45694</v>
      </c>
      <c r="B124" s="3" t="s">
        <v>56</v>
      </c>
      <c r="C124" s="3" t="s">
        <v>12</v>
      </c>
      <c r="D124" s="3" t="s">
        <v>21</v>
      </c>
      <c r="E124" s="3" t="s">
        <v>22</v>
      </c>
      <c r="F124" s="3">
        <v>179</v>
      </c>
      <c r="G124" s="48">
        <v>9.61</v>
      </c>
      <c r="H124" s="48">
        <v>1720.19</v>
      </c>
      <c r="I124" s="3" t="s">
        <v>15</v>
      </c>
      <c r="J124" s="3" t="s">
        <v>47</v>
      </c>
      <c r="K124" s="3"/>
    </row>
    <row r="125" spans="1:11" x14ac:dyDescent="0.3">
      <c r="A125" s="4">
        <v>45695</v>
      </c>
      <c r="B125" s="5" t="s">
        <v>56</v>
      </c>
      <c r="C125" s="5" t="s">
        <v>30</v>
      </c>
      <c r="D125" s="5" t="s">
        <v>59</v>
      </c>
      <c r="E125" s="5" t="s">
        <v>50</v>
      </c>
      <c r="F125" s="5">
        <v>118</v>
      </c>
      <c r="G125" s="49">
        <v>31.46</v>
      </c>
      <c r="H125" s="49">
        <v>3712.28</v>
      </c>
      <c r="I125" s="5" t="s">
        <v>37</v>
      </c>
      <c r="J125" s="5" t="s">
        <v>47</v>
      </c>
      <c r="K125" s="5" t="s">
        <v>17</v>
      </c>
    </row>
    <row r="126" spans="1:11" x14ac:dyDescent="0.3">
      <c r="A126" s="2">
        <v>45695</v>
      </c>
      <c r="B126" s="3" t="s">
        <v>66</v>
      </c>
      <c r="C126" s="3" t="s">
        <v>45</v>
      </c>
      <c r="D126" s="3" t="s">
        <v>31</v>
      </c>
      <c r="E126" s="3" t="s">
        <v>32</v>
      </c>
      <c r="F126" s="3">
        <v>54</v>
      </c>
      <c r="G126" s="48">
        <v>12.7</v>
      </c>
      <c r="H126" s="48">
        <v>685.8</v>
      </c>
      <c r="I126" s="3" t="s">
        <v>15</v>
      </c>
      <c r="J126" s="3" t="s">
        <v>16</v>
      </c>
      <c r="K126" s="3" t="s">
        <v>24</v>
      </c>
    </row>
    <row r="127" spans="1:11" x14ac:dyDescent="0.3">
      <c r="A127" s="4">
        <v>45695</v>
      </c>
      <c r="B127" s="5" t="s">
        <v>66</v>
      </c>
      <c r="C127" s="5" t="s">
        <v>30</v>
      </c>
      <c r="D127" s="5" t="s">
        <v>31</v>
      </c>
      <c r="E127" s="5" t="s">
        <v>32</v>
      </c>
      <c r="F127" s="5">
        <v>130</v>
      </c>
      <c r="G127" s="49">
        <v>11.31</v>
      </c>
      <c r="H127" s="49">
        <v>1470.3</v>
      </c>
      <c r="I127" s="5" t="s">
        <v>37</v>
      </c>
      <c r="J127" s="5" t="s">
        <v>16</v>
      </c>
      <c r="K127" s="5"/>
    </row>
    <row r="128" spans="1:11" x14ac:dyDescent="0.3">
      <c r="A128" s="2">
        <v>45695</v>
      </c>
      <c r="B128" s="3" t="s">
        <v>53</v>
      </c>
      <c r="C128" s="3" t="s">
        <v>30</v>
      </c>
      <c r="D128" s="3" t="s">
        <v>21</v>
      </c>
      <c r="E128" s="3" t="s">
        <v>22</v>
      </c>
      <c r="F128" s="3">
        <v>35</v>
      </c>
      <c r="G128" s="48">
        <v>10.59</v>
      </c>
      <c r="H128" s="48">
        <v>370.65</v>
      </c>
      <c r="I128" s="3" t="s">
        <v>15</v>
      </c>
      <c r="J128" s="3" t="s">
        <v>16</v>
      </c>
      <c r="K128" s="3" t="s">
        <v>17</v>
      </c>
    </row>
    <row r="129" spans="1:11" x14ac:dyDescent="0.3">
      <c r="A129" s="4">
        <v>45696</v>
      </c>
      <c r="B129" s="5" t="s">
        <v>11</v>
      </c>
      <c r="C129" s="5" t="s">
        <v>30</v>
      </c>
      <c r="D129" s="5" t="s">
        <v>26</v>
      </c>
      <c r="E129" s="5" t="s">
        <v>27</v>
      </c>
      <c r="F129" s="5">
        <v>123</v>
      </c>
      <c r="G129" s="49">
        <v>57.61</v>
      </c>
      <c r="H129" s="49">
        <v>7086.03</v>
      </c>
      <c r="I129" s="5" t="s">
        <v>41</v>
      </c>
      <c r="J129" s="5" t="s">
        <v>16</v>
      </c>
      <c r="K129" s="5"/>
    </row>
    <row r="130" spans="1:11" x14ac:dyDescent="0.3">
      <c r="A130" s="2">
        <v>45696</v>
      </c>
      <c r="B130" s="3" t="s">
        <v>25</v>
      </c>
      <c r="C130" s="3" t="s">
        <v>30</v>
      </c>
      <c r="D130" s="3" t="s">
        <v>52</v>
      </c>
      <c r="E130" s="3" t="s">
        <v>27</v>
      </c>
      <c r="F130" s="3">
        <v>192</v>
      </c>
      <c r="G130" s="48">
        <v>47.38</v>
      </c>
      <c r="H130" s="48">
        <v>9096.9599999999991</v>
      </c>
      <c r="I130" s="3" t="s">
        <v>15</v>
      </c>
      <c r="J130" s="3" t="s">
        <v>16</v>
      </c>
      <c r="K130" s="3" t="s">
        <v>42</v>
      </c>
    </row>
    <row r="131" spans="1:11" x14ac:dyDescent="0.3">
      <c r="A131" s="4">
        <v>45696</v>
      </c>
      <c r="B131" s="5" t="s">
        <v>25</v>
      </c>
      <c r="C131" s="5" t="s">
        <v>19</v>
      </c>
      <c r="D131" s="5" t="s">
        <v>54</v>
      </c>
      <c r="E131" s="5" t="s">
        <v>44</v>
      </c>
      <c r="F131" s="5">
        <v>13</v>
      </c>
      <c r="G131" s="49">
        <v>111.05</v>
      </c>
      <c r="H131" s="49">
        <v>1443.65</v>
      </c>
      <c r="I131" s="5" t="s">
        <v>23</v>
      </c>
      <c r="J131" s="5" t="s">
        <v>47</v>
      </c>
      <c r="K131" s="5" t="s">
        <v>24</v>
      </c>
    </row>
    <row r="132" spans="1:11" x14ac:dyDescent="0.3">
      <c r="A132" s="2">
        <v>45697</v>
      </c>
      <c r="B132" s="3" t="s">
        <v>34</v>
      </c>
      <c r="C132" s="3" t="s">
        <v>38</v>
      </c>
      <c r="D132" s="3" t="s">
        <v>43</v>
      </c>
      <c r="E132" s="3" t="s">
        <v>44</v>
      </c>
      <c r="F132" s="3">
        <v>12</v>
      </c>
      <c r="G132" s="48">
        <v>119.93</v>
      </c>
      <c r="H132" s="48">
        <v>1439.16</v>
      </c>
      <c r="I132" s="3" t="s">
        <v>28</v>
      </c>
      <c r="J132" s="3" t="s">
        <v>29</v>
      </c>
      <c r="K132" s="3"/>
    </row>
    <row r="133" spans="1:11" x14ac:dyDescent="0.3">
      <c r="A133" s="4">
        <v>45697</v>
      </c>
      <c r="B133" s="5" t="s">
        <v>11</v>
      </c>
      <c r="C133" s="5" t="s">
        <v>12</v>
      </c>
      <c r="D133" s="5" t="s">
        <v>59</v>
      </c>
      <c r="E133" s="5" t="s">
        <v>50</v>
      </c>
      <c r="F133" s="5">
        <v>108</v>
      </c>
      <c r="G133" s="49">
        <v>29.71</v>
      </c>
      <c r="H133" s="49">
        <v>3208.68</v>
      </c>
      <c r="I133" s="5" t="s">
        <v>15</v>
      </c>
      <c r="J133" s="5" t="s">
        <v>16</v>
      </c>
      <c r="K133" s="5"/>
    </row>
    <row r="134" spans="1:11" x14ac:dyDescent="0.3">
      <c r="A134" s="2">
        <v>45698</v>
      </c>
      <c r="B134" s="3" t="s">
        <v>65</v>
      </c>
      <c r="C134" s="3" t="s">
        <v>30</v>
      </c>
      <c r="D134" s="3" t="s">
        <v>21</v>
      </c>
      <c r="E134" s="3" t="s">
        <v>22</v>
      </c>
      <c r="F134" s="3">
        <v>182</v>
      </c>
      <c r="G134" s="48">
        <v>9.57</v>
      </c>
      <c r="H134" s="48">
        <v>1741.74</v>
      </c>
      <c r="I134" s="3" t="s">
        <v>28</v>
      </c>
      <c r="J134" s="3" t="s">
        <v>47</v>
      </c>
      <c r="K134" s="3" t="s">
        <v>42</v>
      </c>
    </row>
    <row r="135" spans="1:11" x14ac:dyDescent="0.3">
      <c r="A135" s="4">
        <v>45698</v>
      </c>
      <c r="B135" s="5" t="s">
        <v>25</v>
      </c>
      <c r="C135" s="5" t="s">
        <v>45</v>
      </c>
      <c r="D135" s="5" t="s">
        <v>21</v>
      </c>
      <c r="E135" s="5" t="s">
        <v>22</v>
      </c>
      <c r="F135" s="5">
        <v>178</v>
      </c>
      <c r="G135" s="49">
        <v>9.43</v>
      </c>
      <c r="H135" s="49">
        <v>1678.54</v>
      </c>
      <c r="I135" s="5" t="s">
        <v>41</v>
      </c>
      <c r="J135" s="5" t="s">
        <v>16</v>
      </c>
      <c r="K135" s="5"/>
    </row>
    <row r="136" spans="1:11" x14ac:dyDescent="0.3">
      <c r="A136" s="2">
        <v>45698</v>
      </c>
      <c r="B136" s="3" t="s">
        <v>11</v>
      </c>
      <c r="C136" s="3" t="s">
        <v>30</v>
      </c>
      <c r="D136" s="3" t="s">
        <v>58</v>
      </c>
      <c r="E136" s="3" t="s">
        <v>22</v>
      </c>
      <c r="F136" s="3">
        <v>168</v>
      </c>
      <c r="G136" s="48">
        <v>26.88</v>
      </c>
      <c r="H136" s="48">
        <v>4515.84</v>
      </c>
      <c r="I136" s="3" t="s">
        <v>37</v>
      </c>
      <c r="J136" s="3" t="s">
        <v>67</v>
      </c>
      <c r="K136" s="3"/>
    </row>
    <row r="137" spans="1:11" x14ac:dyDescent="0.3">
      <c r="A137" s="4">
        <v>45699</v>
      </c>
      <c r="B137" s="5" t="s">
        <v>11</v>
      </c>
      <c r="C137" s="5" t="s">
        <v>45</v>
      </c>
      <c r="D137" s="5" t="s">
        <v>39</v>
      </c>
      <c r="E137" s="5" t="s">
        <v>40</v>
      </c>
      <c r="F137" s="5">
        <v>119</v>
      </c>
      <c r="G137" s="49">
        <v>51.58</v>
      </c>
      <c r="H137" s="49">
        <v>6138.02</v>
      </c>
      <c r="I137" s="5" t="s">
        <v>37</v>
      </c>
      <c r="J137" s="5" t="s">
        <v>16</v>
      </c>
      <c r="K137" s="5" t="s">
        <v>46</v>
      </c>
    </row>
    <row r="138" spans="1:11" x14ac:dyDescent="0.3">
      <c r="A138" s="2">
        <v>45699</v>
      </c>
      <c r="B138" s="3" t="s">
        <v>25</v>
      </c>
      <c r="C138" s="3" t="s">
        <v>38</v>
      </c>
      <c r="D138" s="3" t="s">
        <v>21</v>
      </c>
      <c r="E138" s="3" t="s">
        <v>22</v>
      </c>
      <c r="F138" s="3">
        <v>74</v>
      </c>
      <c r="G138" s="48">
        <v>9.49</v>
      </c>
      <c r="H138" s="48">
        <v>702.26</v>
      </c>
      <c r="I138" s="3" t="s">
        <v>15</v>
      </c>
      <c r="J138" s="3" t="s">
        <v>47</v>
      </c>
      <c r="K138" s="3" t="s">
        <v>24</v>
      </c>
    </row>
    <row r="139" spans="1:11" x14ac:dyDescent="0.3">
      <c r="A139" s="4">
        <v>45699</v>
      </c>
      <c r="B139" s="5" t="s">
        <v>18</v>
      </c>
      <c r="C139" s="5" t="s">
        <v>30</v>
      </c>
      <c r="D139" s="5" t="s">
        <v>35</v>
      </c>
      <c r="E139" s="5" t="s">
        <v>32</v>
      </c>
      <c r="F139" s="5">
        <v>21</v>
      </c>
      <c r="G139" s="49">
        <v>14.21</v>
      </c>
      <c r="H139" s="49">
        <v>298.41000000000003</v>
      </c>
      <c r="I139" s="5" t="s">
        <v>23</v>
      </c>
      <c r="J139" s="5" t="s">
        <v>47</v>
      </c>
      <c r="K139" s="5"/>
    </row>
    <row r="140" spans="1:11" x14ac:dyDescent="0.3">
      <c r="A140" s="2">
        <v>45699</v>
      </c>
      <c r="B140" s="3" t="s">
        <v>53</v>
      </c>
      <c r="C140" s="3" t="s">
        <v>19</v>
      </c>
      <c r="D140" s="3" t="s">
        <v>59</v>
      </c>
      <c r="E140" s="3" t="s">
        <v>50</v>
      </c>
      <c r="F140" s="3">
        <v>25</v>
      </c>
      <c r="G140" s="48">
        <v>29.2</v>
      </c>
      <c r="H140" s="48">
        <v>730</v>
      </c>
      <c r="I140" s="3" t="s">
        <v>23</v>
      </c>
      <c r="J140" s="3" t="s">
        <v>16</v>
      </c>
      <c r="K140" s="3"/>
    </row>
    <row r="141" spans="1:11" x14ac:dyDescent="0.3">
      <c r="A141" s="4">
        <v>45699</v>
      </c>
      <c r="B141" s="5" t="s">
        <v>34</v>
      </c>
      <c r="C141" s="5" t="s">
        <v>38</v>
      </c>
      <c r="D141" s="5" t="s">
        <v>43</v>
      </c>
      <c r="E141" s="5" t="s">
        <v>44</v>
      </c>
      <c r="F141" s="5">
        <v>191</v>
      </c>
      <c r="G141" s="49">
        <v>133.46</v>
      </c>
      <c r="H141" s="49">
        <v>25490.86</v>
      </c>
      <c r="I141" s="5" t="s">
        <v>41</v>
      </c>
      <c r="J141" s="5" t="s">
        <v>16</v>
      </c>
      <c r="K141" s="5" t="s">
        <v>17</v>
      </c>
    </row>
    <row r="142" spans="1:11" x14ac:dyDescent="0.3">
      <c r="A142" s="2">
        <v>45699</v>
      </c>
      <c r="B142" s="3" t="s">
        <v>18</v>
      </c>
      <c r="C142" s="3" t="s">
        <v>12</v>
      </c>
      <c r="D142" s="3" t="s">
        <v>43</v>
      </c>
      <c r="E142" s="3" t="s">
        <v>44</v>
      </c>
      <c r="F142" s="3">
        <v>160</v>
      </c>
      <c r="G142" s="48">
        <v>122.59</v>
      </c>
      <c r="H142" s="48">
        <v>19614.400000000001</v>
      </c>
      <c r="I142" s="3" t="s">
        <v>15</v>
      </c>
      <c r="J142" s="3" t="s">
        <v>47</v>
      </c>
      <c r="K142" s="3" t="s">
        <v>33</v>
      </c>
    </row>
    <row r="143" spans="1:11" x14ac:dyDescent="0.3">
      <c r="A143" s="4">
        <v>45700</v>
      </c>
      <c r="B143" s="5" t="s">
        <v>34</v>
      </c>
      <c r="C143" s="5" t="s">
        <v>30</v>
      </c>
      <c r="D143" s="5" t="s">
        <v>60</v>
      </c>
      <c r="E143" s="5" t="s">
        <v>44</v>
      </c>
      <c r="F143" s="5">
        <v>93</v>
      </c>
      <c r="G143" s="49">
        <v>116.03</v>
      </c>
      <c r="H143" s="49">
        <v>10790.79</v>
      </c>
      <c r="I143" s="5" t="s">
        <v>37</v>
      </c>
      <c r="J143" s="5" t="s">
        <v>47</v>
      </c>
      <c r="K143" s="5"/>
    </row>
    <row r="144" spans="1:11" x14ac:dyDescent="0.3">
      <c r="A144" s="2">
        <v>45700</v>
      </c>
      <c r="B144" s="3" t="s">
        <v>36</v>
      </c>
      <c r="C144" s="3" t="s">
        <v>45</v>
      </c>
      <c r="D144" s="3" t="s">
        <v>26</v>
      </c>
      <c r="E144" s="3" t="s">
        <v>27</v>
      </c>
      <c r="F144" s="3">
        <v>39</v>
      </c>
      <c r="G144" s="48">
        <v>56.91</v>
      </c>
      <c r="H144" s="48">
        <v>2219.4899999999998</v>
      </c>
      <c r="I144" s="3" t="s">
        <v>28</v>
      </c>
      <c r="J144" s="3" t="s">
        <v>29</v>
      </c>
      <c r="K144" s="3" t="s">
        <v>46</v>
      </c>
    </row>
    <row r="145" spans="1:11" x14ac:dyDescent="0.3">
      <c r="A145" s="4">
        <v>45700</v>
      </c>
      <c r="B145" s="5" t="s">
        <v>11</v>
      </c>
      <c r="C145" s="5" t="s">
        <v>19</v>
      </c>
      <c r="D145" s="5" t="s">
        <v>43</v>
      </c>
      <c r="E145" s="5" t="s">
        <v>44</v>
      </c>
      <c r="F145" s="5">
        <v>57</v>
      </c>
      <c r="G145" s="49">
        <v>128.97999999999999</v>
      </c>
      <c r="H145" s="49">
        <v>7351.86</v>
      </c>
      <c r="I145" s="5" t="s">
        <v>23</v>
      </c>
      <c r="J145" s="5" t="s">
        <v>16</v>
      </c>
      <c r="K145" s="5" t="s">
        <v>33</v>
      </c>
    </row>
    <row r="146" spans="1:11" x14ac:dyDescent="0.3">
      <c r="A146" s="2">
        <v>45700</v>
      </c>
      <c r="B146" s="3" t="s">
        <v>20</v>
      </c>
      <c r="C146" s="3" t="s">
        <v>38</v>
      </c>
      <c r="D146" s="3" t="s">
        <v>43</v>
      </c>
      <c r="E146" s="3" t="s">
        <v>44</v>
      </c>
      <c r="F146" s="3">
        <v>20</v>
      </c>
      <c r="G146" s="48">
        <v>140.16</v>
      </c>
      <c r="H146" s="48">
        <v>2803.2</v>
      </c>
      <c r="I146" s="3" t="s">
        <v>15</v>
      </c>
      <c r="J146" s="3" t="s">
        <v>16</v>
      </c>
      <c r="K146" s="3"/>
    </row>
    <row r="147" spans="1:11" x14ac:dyDescent="0.3">
      <c r="A147" s="4">
        <v>45700</v>
      </c>
      <c r="B147" s="5" t="s">
        <v>56</v>
      </c>
      <c r="C147" s="5" t="s">
        <v>45</v>
      </c>
      <c r="D147" s="5" t="s">
        <v>39</v>
      </c>
      <c r="E147" s="5" t="s">
        <v>40</v>
      </c>
      <c r="F147" s="5">
        <v>87</v>
      </c>
      <c r="G147" s="49">
        <v>55.56</v>
      </c>
      <c r="H147" s="49">
        <v>4833.72</v>
      </c>
      <c r="I147" s="5" t="s">
        <v>23</v>
      </c>
      <c r="J147" s="5" t="s">
        <v>16</v>
      </c>
      <c r="K147" s="5" t="s">
        <v>24</v>
      </c>
    </row>
    <row r="148" spans="1:11" x14ac:dyDescent="0.3">
      <c r="A148" s="2">
        <v>45700</v>
      </c>
      <c r="B148" s="3" t="s">
        <v>11</v>
      </c>
      <c r="C148" s="3" t="s">
        <v>12</v>
      </c>
      <c r="D148" s="3" t="s">
        <v>26</v>
      </c>
      <c r="E148" s="3" t="s">
        <v>27</v>
      </c>
      <c r="F148" s="3">
        <v>87</v>
      </c>
      <c r="G148" s="48">
        <v>58.94</v>
      </c>
      <c r="H148" s="48">
        <v>5127.78</v>
      </c>
      <c r="I148" s="3" t="s">
        <v>15</v>
      </c>
      <c r="J148" s="3" t="s">
        <v>29</v>
      </c>
      <c r="K148" s="3" t="s">
        <v>33</v>
      </c>
    </row>
    <row r="149" spans="1:11" x14ac:dyDescent="0.3">
      <c r="A149" s="4">
        <v>45701</v>
      </c>
      <c r="B149" s="5" t="s">
        <v>25</v>
      </c>
      <c r="C149" s="5" t="s">
        <v>12</v>
      </c>
      <c r="D149" s="5" t="s">
        <v>59</v>
      </c>
      <c r="E149" s="5" t="s">
        <v>50</v>
      </c>
      <c r="F149" s="5">
        <v>32</v>
      </c>
      <c r="G149" s="49">
        <v>29.68</v>
      </c>
      <c r="H149" s="49">
        <v>949.76</v>
      </c>
      <c r="I149" s="5" t="s">
        <v>41</v>
      </c>
      <c r="J149" s="5" t="s">
        <v>29</v>
      </c>
      <c r="K149" s="5"/>
    </row>
    <row r="150" spans="1:11" x14ac:dyDescent="0.3">
      <c r="A150" s="2">
        <v>45702</v>
      </c>
      <c r="B150" s="3" t="s">
        <v>53</v>
      </c>
      <c r="C150" s="3" t="s">
        <v>45</v>
      </c>
      <c r="D150" s="3" t="s">
        <v>49</v>
      </c>
      <c r="E150" s="3" t="s">
        <v>50</v>
      </c>
      <c r="F150" s="3">
        <v>107</v>
      </c>
      <c r="G150" s="48">
        <v>19.170000000000002</v>
      </c>
      <c r="H150" s="48">
        <v>2051.19</v>
      </c>
      <c r="I150" s="3" t="s">
        <v>28</v>
      </c>
      <c r="J150" s="3" t="s">
        <v>29</v>
      </c>
      <c r="K150" s="3"/>
    </row>
    <row r="151" spans="1:11" x14ac:dyDescent="0.3">
      <c r="A151" s="4">
        <v>45702</v>
      </c>
      <c r="B151" s="5" t="s">
        <v>68</v>
      </c>
      <c r="C151" s="5" t="s">
        <v>38</v>
      </c>
      <c r="D151" s="5" t="s">
        <v>60</v>
      </c>
      <c r="E151" s="5" t="s">
        <v>44</v>
      </c>
      <c r="F151" s="5">
        <v>111</v>
      </c>
      <c r="G151" s="49">
        <v>113.98</v>
      </c>
      <c r="H151" s="49">
        <v>12651.78</v>
      </c>
      <c r="I151" s="5" t="s">
        <v>41</v>
      </c>
      <c r="J151" s="5" t="s">
        <v>16</v>
      </c>
      <c r="K151" s="5"/>
    </row>
    <row r="152" spans="1:11" x14ac:dyDescent="0.3">
      <c r="A152" s="2">
        <v>45702</v>
      </c>
      <c r="B152" s="3" t="s">
        <v>25</v>
      </c>
      <c r="C152" s="3" t="s">
        <v>12</v>
      </c>
      <c r="D152" s="3" t="s">
        <v>48</v>
      </c>
      <c r="E152" s="3" t="s">
        <v>14</v>
      </c>
      <c r="F152" s="3">
        <v>54</v>
      </c>
      <c r="G152" s="48">
        <v>87.73</v>
      </c>
      <c r="H152" s="48">
        <v>4737.42</v>
      </c>
      <c r="I152" s="3" t="s">
        <v>23</v>
      </c>
      <c r="J152" s="3" t="s">
        <v>16</v>
      </c>
      <c r="K152" s="3"/>
    </row>
    <row r="153" spans="1:11" x14ac:dyDescent="0.3">
      <c r="A153" s="4">
        <v>45702</v>
      </c>
      <c r="B153" s="5" t="s">
        <v>34</v>
      </c>
      <c r="C153" s="5" t="s">
        <v>30</v>
      </c>
      <c r="D153" s="5" t="s">
        <v>39</v>
      </c>
      <c r="E153" s="5" t="s">
        <v>40</v>
      </c>
      <c r="F153" s="5">
        <v>40</v>
      </c>
      <c r="G153" s="49">
        <v>58.14</v>
      </c>
      <c r="H153" s="49">
        <v>2325.6</v>
      </c>
      <c r="I153" s="5" t="s">
        <v>15</v>
      </c>
      <c r="J153" s="5" t="s">
        <v>16</v>
      </c>
      <c r="K153" s="5" t="s">
        <v>33</v>
      </c>
    </row>
    <row r="154" spans="1:11" x14ac:dyDescent="0.3">
      <c r="A154" s="2">
        <v>45703</v>
      </c>
      <c r="B154" s="3" t="s">
        <v>53</v>
      </c>
      <c r="C154" s="3" t="s">
        <v>19</v>
      </c>
      <c r="D154" s="3" t="s">
        <v>49</v>
      </c>
      <c r="E154" s="3" t="s">
        <v>50</v>
      </c>
      <c r="F154" s="3">
        <v>173</v>
      </c>
      <c r="G154" s="48">
        <v>19.04</v>
      </c>
      <c r="H154" s="48">
        <v>3293.92</v>
      </c>
      <c r="I154" s="3" t="s">
        <v>15</v>
      </c>
      <c r="J154" s="3" t="s">
        <v>47</v>
      </c>
      <c r="K154" s="3" t="s">
        <v>17</v>
      </c>
    </row>
    <row r="155" spans="1:11" x14ac:dyDescent="0.3">
      <c r="A155" s="4">
        <v>45703</v>
      </c>
      <c r="B155" s="5" t="s">
        <v>53</v>
      </c>
      <c r="C155" s="5" t="s">
        <v>38</v>
      </c>
      <c r="D155" s="5" t="s">
        <v>43</v>
      </c>
      <c r="E155" s="5" t="s">
        <v>44</v>
      </c>
      <c r="F155" s="5">
        <v>198</v>
      </c>
      <c r="G155" s="49">
        <v>127.45</v>
      </c>
      <c r="H155" s="49">
        <v>25235.1</v>
      </c>
      <c r="I155" s="5" t="s">
        <v>41</v>
      </c>
      <c r="J155" s="5" t="s">
        <v>16</v>
      </c>
      <c r="K155" s="5"/>
    </row>
    <row r="156" spans="1:11" x14ac:dyDescent="0.3">
      <c r="A156" s="2">
        <v>45703</v>
      </c>
      <c r="B156" s="3" t="s">
        <v>62</v>
      </c>
      <c r="C156" s="3" t="s">
        <v>12</v>
      </c>
      <c r="D156" s="3" t="s">
        <v>31</v>
      </c>
      <c r="E156" s="3" t="s">
        <v>32</v>
      </c>
      <c r="F156" s="3">
        <v>89</v>
      </c>
      <c r="G156" s="48">
        <v>12.89</v>
      </c>
      <c r="H156" s="48">
        <v>1147.21</v>
      </c>
      <c r="I156" s="3" t="s">
        <v>15</v>
      </c>
      <c r="J156" s="3" t="s">
        <v>16</v>
      </c>
      <c r="K156" s="3" t="s">
        <v>24</v>
      </c>
    </row>
    <row r="157" spans="1:11" x14ac:dyDescent="0.3">
      <c r="A157" s="4">
        <v>45703</v>
      </c>
      <c r="B157" s="5" t="s">
        <v>11</v>
      </c>
      <c r="C157" s="5" t="s">
        <v>38</v>
      </c>
      <c r="D157" s="5" t="s">
        <v>60</v>
      </c>
      <c r="E157" s="5" t="s">
        <v>44</v>
      </c>
      <c r="F157" s="5">
        <v>40</v>
      </c>
      <c r="G157" s="49">
        <v>119.87</v>
      </c>
      <c r="H157" s="49">
        <v>4794.8</v>
      </c>
      <c r="I157" s="5" t="s">
        <v>28</v>
      </c>
      <c r="J157" s="5" t="s">
        <v>16</v>
      </c>
      <c r="K157" s="5" t="s">
        <v>24</v>
      </c>
    </row>
    <row r="158" spans="1:11" x14ac:dyDescent="0.3">
      <c r="A158" s="2">
        <v>45704</v>
      </c>
      <c r="B158" s="3" t="s">
        <v>34</v>
      </c>
      <c r="C158" s="3" t="s">
        <v>19</v>
      </c>
      <c r="D158" s="3" t="s">
        <v>48</v>
      </c>
      <c r="E158" s="3" t="s">
        <v>14</v>
      </c>
      <c r="F158" s="3"/>
      <c r="G158" s="48"/>
      <c r="H158" s="48"/>
      <c r="I158" s="3" t="s">
        <v>15</v>
      </c>
      <c r="J158" s="3" t="s">
        <v>29</v>
      </c>
      <c r="K158" s="3"/>
    </row>
    <row r="159" spans="1:11" x14ac:dyDescent="0.3">
      <c r="A159" s="4">
        <v>45704</v>
      </c>
      <c r="B159" s="5" t="s">
        <v>25</v>
      </c>
      <c r="C159" s="5" t="s">
        <v>12</v>
      </c>
      <c r="D159" s="5" t="s">
        <v>52</v>
      </c>
      <c r="E159" s="5" t="s">
        <v>27</v>
      </c>
      <c r="F159" s="5">
        <v>24</v>
      </c>
      <c r="G159" s="49">
        <v>48.14</v>
      </c>
      <c r="H159" s="49">
        <v>1155.3599999999999</v>
      </c>
      <c r="I159" s="5" t="s">
        <v>15</v>
      </c>
      <c r="J159" s="5" t="s">
        <v>16</v>
      </c>
      <c r="K159" s="5" t="s">
        <v>24</v>
      </c>
    </row>
    <row r="160" spans="1:11" x14ac:dyDescent="0.3">
      <c r="A160" s="2">
        <v>45705</v>
      </c>
      <c r="B160" s="3" t="s">
        <v>25</v>
      </c>
      <c r="C160" s="3" t="s">
        <v>19</v>
      </c>
      <c r="D160" s="3" t="s">
        <v>21</v>
      </c>
      <c r="E160" s="3" t="s">
        <v>22</v>
      </c>
      <c r="F160" s="3">
        <v>193</v>
      </c>
      <c r="G160" s="48">
        <v>10.26</v>
      </c>
      <c r="H160" s="48">
        <v>1980.18</v>
      </c>
      <c r="I160" s="3" t="s">
        <v>23</v>
      </c>
      <c r="J160" s="3" t="s">
        <v>16</v>
      </c>
      <c r="K160" s="3"/>
    </row>
    <row r="161" spans="1:11" x14ac:dyDescent="0.3">
      <c r="A161" s="4">
        <v>45705</v>
      </c>
      <c r="B161" s="5" t="s">
        <v>18</v>
      </c>
      <c r="C161" s="5" t="s">
        <v>12</v>
      </c>
      <c r="D161" s="5" t="s">
        <v>26</v>
      </c>
      <c r="E161" s="5" t="s">
        <v>27</v>
      </c>
      <c r="F161" s="5">
        <v>45</v>
      </c>
      <c r="G161" s="49">
        <v>52.59</v>
      </c>
      <c r="H161" s="49">
        <v>2366.5500000000002</v>
      </c>
      <c r="I161" s="5" t="s">
        <v>37</v>
      </c>
      <c r="J161" s="5" t="s">
        <v>16</v>
      </c>
      <c r="K161" s="5"/>
    </row>
    <row r="162" spans="1:11" x14ac:dyDescent="0.3">
      <c r="A162" s="2">
        <v>45706</v>
      </c>
      <c r="B162" s="3" t="s">
        <v>53</v>
      </c>
      <c r="C162" s="3" t="s">
        <v>30</v>
      </c>
      <c r="D162" s="3" t="s">
        <v>58</v>
      </c>
      <c r="E162" s="3" t="s">
        <v>22</v>
      </c>
      <c r="F162" s="3">
        <v>120</v>
      </c>
      <c r="G162" s="48">
        <v>24.64</v>
      </c>
      <c r="H162" s="48">
        <v>2956.8</v>
      </c>
      <c r="I162" s="3" t="s">
        <v>41</v>
      </c>
      <c r="J162" s="3" t="s">
        <v>69</v>
      </c>
      <c r="K162" s="3" t="s">
        <v>33</v>
      </c>
    </row>
    <row r="163" spans="1:11" x14ac:dyDescent="0.3">
      <c r="A163" s="4">
        <v>45706</v>
      </c>
      <c r="B163" s="5" t="s">
        <v>34</v>
      </c>
      <c r="C163" s="5" t="s">
        <v>30</v>
      </c>
      <c r="D163" s="5" t="s">
        <v>39</v>
      </c>
      <c r="E163" s="5" t="s">
        <v>40</v>
      </c>
      <c r="F163" s="5"/>
      <c r="G163" s="49"/>
      <c r="H163" s="49"/>
      <c r="I163" s="5" t="s">
        <v>23</v>
      </c>
      <c r="J163" s="5" t="s">
        <v>16</v>
      </c>
      <c r="K163" s="5" t="s">
        <v>42</v>
      </c>
    </row>
    <row r="164" spans="1:11" x14ac:dyDescent="0.3">
      <c r="A164" s="2">
        <v>45706</v>
      </c>
      <c r="B164" s="3" t="s">
        <v>25</v>
      </c>
      <c r="C164" s="3" t="s">
        <v>30</v>
      </c>
      <c r="D164" s="3" t="s">
        <v>35</v>
      </c>
      <c r="E164" s="3" t="s">
        <v>32</v>
      </c>
      <c r="F164" s="3">
        <v>16</v>
      </c>
      <c r="G164" s="48">
        <v>14.21</v>
      </c>
      <c r="H164" s="48">
        <v>227.36</v>
      </c>
      <c r="I164" s="3" t="s">
        <v>15</v>
      </c>
      <c r="J164" s="3" t="s">
        <v>70</v>
      </c>
      <c r="K164" s="3" t="s">
        <v>17</v>
      </c>
    </row>
    <row r="165" spans="1:11" x14ac:dyDescent="0.3">
      <c r="A165" s="4">
        <v>45706</v>
      </c>
      <c r="B165" s="5" t="s">
        <v>11</v>
      </c>
      <c r="C165" s="5" t="s">
        <v>30</v>
      </c>
      <c r="D165" s="5" t="s">
        <v>54</v>
      </c>
      <c r="E165" s="5" t="s">
        <v>44</v>
      </c>
      <c r="F165" s="5">
        <v>110</v>
      </c>
      <c r="G165" s="49">
        <v>106.28</v>
      </c>
      <c r="H165" s="49">
        <v>11690.8</v>
      </c>
      <c r="I165" s="5" t="s">
        <v>37</v>
      </c>
      <c r="J165" s="5" t="s">
        <v>16</v>
      </c>
      <c r="K165" s="5"/>
    </row>
    <row r="166" spans="1:11" x14ac:dyDescent="0.3">
      <c r="A166" s="2">
        <v>45706</v>
      </c>
      <c r="B166" s="3" t="s">
        <v>25</v>
      </c>
      <c r="C166" s="3" t="s">
        <v>30</v>
      </c>
      <c r="D166" s="3" t="s">
        <v>35</v>
      </c>
      <c r="E166" s="3" t="s">
        <v>32</v>
      </c>
      <c r="F166" s="3"/>
      <c r="G166" s="48">
        <v>13.46</v>
      </c>
      <c r="H166" s="48"/>
      <c r="I166" s="3" t="s">
        <v>28</v>
      </c>
      <c r="J166" s="3" t="s">
        <v>29</v>
      </c>
      <c r="K166" s="3" t="s">
        <v>46</v>
      </c>
    </row>
    <row r="167" spans="1:11" x14ac:dyDescent="0.3">
      <c r="A167" s="4">
        <v>45709</v>
      </c>
      <c r="B167" s="5" t="s">
        <v>56</v>
      </c>
      <c r="C167" s="5" t="s">
        <v>45</v>
      </c>
      <c r="D167" s="5" t="s">
        <v>43</v>
      </c>
      <c r="E167" s="5" t="s">
        <v>44</v>
      </c>
      <c r="F167" s="5">
        <v>71</v>
      </c>
      <c r="G167" s="49">
        <v>133.52000000000001</v>
      </c>
      <c r="H167" s="49">
        <v>9479.92</v>
      </c>
      <c r="I167" s="5" t="s">
        <v>37</v>
      </c>
      <c r="J167" s="5" t="s">
        <v>16</v>
      </c>
      <c r="K167" s="5"/>
    </row>
    <row r="168" spans="1:11" x14ac:dyDescent="0.3">
      <c r="A168" s="2">
        <v>45709</v>
      </c>
      <c r="B168" s="3" t="s">
        <v>71</v>
      </c>
      <c r="C168" s="3" t="s">
        <v>12</v>
      </c>
      <c r="D168" s="3" t="s">
        <v>31</v>
      </c>
      <c r="E168" s="3" t="s">
        <v>32</v>
      </c>
      <c r="F168" s="3"/>
      <c r="G168" s="48">
        <v>11.99</v>
      </c>
      <c r="H168" s="48"/>
      <c r="I168" s="3" t="s">
        <v>15</v>
      </c>
      <c r="J168" s="3" t="s">
        <v>16</v>
      </c>
      <c r="K168" s="3"/>
    </row>
    <row r="169" spans="1:11" x14ac:dyDescent="0.3">
      <c r="A169" s="4">
        <v>45709</v>
      </c>
      <c r="B169" s="5" t="s">
        <v>72</v>
      </c>
      <c r="C169" s="5" t="s">
        <v>38</v>
      </c>
      <c r="D169" s="5" t="s">
        <v>60</v>
      </c>
      <c r="E169" s="5" t="s">
        <v>44</v>
      </c>
      <c r="F169" s="5">
        <v>163</v>
      </c>
      <c r="G169" s="49">
        <v>123.81</v>
      </c>
      <c r="H169" s="49">
        <v>20181.03</v>
      </c>
      <c r="I169" s="5" t="s">
        <v>15</v>
      </c>
      <c r="J169" s="5" t="s">
        <v>16</v>
      </c>
      <c r="K169" s="5"/>
    </row>
    <row r="170" spans="1:11" x14ac:dyDescent="0.3">
      <c r="A170" s="2">
        <v>45709</v>
      </c>
      <c r="B170" s="3" t="s">
        <v>18</v>
      </c>
      <c r="C170" s="3" t="s">
        <v>19</v>
      </c>
      <c r="D170" s="3" t="s">
        <v>59</v>
      </c>
      <c r="E170" s="3" t="s">
        <v>50</v>
      </c>
      <c r="F170" s="3">
        <v>198</v>
      </c>
      <c r="G170" s="48">
        <v>29.16</v>
      </c>
      <c r="H170" s="48">
        <v>5773.68</v>
      </c>
      <c r="I170" s="3" t="s">
        <v>15</v>
      </c>
      <c r="J170" s="3" t="s">
        <v>16</v>
      </c>
      <c r="K170" s="3"/>
    </row>
    <row r="171" spans="1:11" x14ac:dyDescent="0.3">
      <c r="A171" s="4">
        <v>45709</v>
      </c>
      <c r="B171" s="5" t="s">
        <v>11</v>
      </c>
      <c r="C171" s="5" t="s">
        <v>12</v>
      </c>
      <c r="D171" s="5" t="s">
        <v>13</v>
      </c>
      <c r="E171" s="5" t="s">
        <v>14</v>
      </c>
      <c r="F171" s="5">
        <v>131</v>
      </c>
      <c r="G171" s="49">
        <v>45.72</v>
      </c>
      <c r="H171" s="49">
        <v>5989.32</v>
      </c>
      <c r="I171" s="5" t="s">
        <v>15</v>
      </c>
      <c r="J171" s="5" t="s">
        <v>16</v>
      </c>
      <c r="K171" s="5" t="s">
        <v>33</v>
      </c>
    </row>
    <row r="172" spans="1:11" x14ac:dyDescent="0.3">
      <c r="A172" s="2">
        <v>45710</v>
      </c>
      <c r="B172" s="3" t="s">
        <v>34</v>
      </c>
      <c r="C172" s="3" t="s">
        <v>45</v>
      </c>
      <c r="D172" s="3" t="s">
        <v>26</v>
      </c>
      <c r="E172" s="3" t="s">
        <v>27</v>
      </c>
      <c r="F172" s="3">
        <v>74</v>
      </c>
      <c r="G172" s="48">
        <v>58.05</v>
      </c>
      <c r="H172" s="48">
        <v>4295.7</v>
      </c>
      <c r="I172" s="3" t="s">
        <v>41</v>
      </c>
      <c r="J172" s="3" t="s">
        <v>16</v>
      </c>
      <c r="K172" s="3"/>
    </row>
    <row r="173" spans="1:11" x14ac:dyDescent="0.3">
      <c r="A173" s="4">
        <v>45710</v>
      </c>
      <c r="B173" s="5" t="s">
        <v>34</v>
      </c>
      <c r="C173" s="5" t="s">
        <v>45</v>
      </c>
      <c r="D173" s="5" t="s">
        <v>43</v>
      </c>
      <c r="E173" s="5" t="s">
        <v>44</v>
      </c>
      <c r="F173" s="5">
        <v>83</v>
      </c>
      <c r="G173" s="49">
        <v>134.12</v>
      </c>
      <c r="H173" s="49">
        <v>11131.96</v>
      </c>
      <c r="I173" s="5" t="s">
        <v>23</v>
      </c>
      <c r="J173" s="5" t="s">
        <v>47</v>
      </c>
      <c r="K173" s="5" t="s">
        <v>24</v>
      </c>
    </row>
    <row r="174" spans="1:11" x14ac:dyDescent="0.3">
      <c r="A174" s="2">
        <v>45710</v>
      </c>
      <c r="B174" s="3" t="s">
        <v>20</v>
      </c>
      <c r="C174" s="3" t="s">
        <v>12</v>
      </c>
      <c r="D174" s="3" t="s">
        <v>26</v>
      </c>
      <c r="E174" s="3" t="s">
        <v>27</v>
      </c>
      <c r="F174" s="3">
        <v>25</v>
      </c>
      <c r="G174" s="48">
        <v>51.85</v>
      </c>
      <c r="H174" s="48">
        <v>1296.25</v>
      </c>
      <c r="I174" s="3" t="s">
        <v>28</v>
      </c>
      <c r="J174" s="3" t="s">
        <v>61</v>
      </c>
      <c r="K174" s="3" t="s">
        <v>42</v>
      </c>
    </row>
    <row r="175" spans="1:11" x14ac:dyDescent="0.3">
      <c r="A175" s="4">
        <v>45710</v>
      </c>
      <c r="B175" s="5" t="s">
        <v>25</v>
      </c>
      <c r="C175" s="5" t="s">
        <v>19</v>
      </c>
      <c r="D175" s="5" t="s">
        <v>52</v>
      </c>
      <c r="E175" s="5" t="s">
        <v>27</v>
      </c>
      <c r="F175" s="5">
        <v>125</v>
      </c>
      <c r="G175" s="49">
        <v>51.36</v>
      </c>
      <c r="H175" s="49">
        <v>6420</v>
      </c>
      <c r="I175" s="5" t="s">
        <v>41</v>
      </c>
      <c r="J175" s="5" t="s">
        <v>61</v>
      </c>
      <c r="K175" s="5"/>
    </row>
    <row r="176" spans="1:11" x14ac:dyDescent="0.3">
      <c r="A176" s="2">
        <v>45711</v>
      </c>
      <c r="B176" s="3" t="s">
        <v>34</v>
      </c>
      <c r="C176" s="3" t="s">
        <v>19</v>
      </c>
      <c r="D176" s="3" t="s">
        <v>58</v>
      </c>
      <c r="E176" s="3" t="s">
        <v>22</v>
      </c>
      <c r="F176" s="3">
        <v>43</v>
      </c>
      <c r="G176" s="48">
        <v>25.6</v>
      </c>
      <c r="H176" s="48">
        <v>1100.8</v>
      </c>
      <c r="I176" s="3" t="s">
        <v>28</v>
      </c>
      <c r="J176" s="3" t="s">
        <v>16</v>
      </c>
      <c r="K176" s="3" t="s">
        <v>46</v>
      </c>
    </row>
    <row r="177" spans="1:11" x14ac:dyDescent="0.3">
      <c r="A177" s="4">
        <v>45713</v>
      </c>
      <c r="B177" s="5" t="s">
        <v>20</v>
      </c>
      <c r="C177" s="5" t="s">
        <v>45</v>
      </c>
      <c r="D177" s="5" t="s">
        <v>21</v>
      </c>
      <c r="E177" s="5" t="s">
        <v>22</v>
      </c>
      <c r="F177" s="5">
        <v>16</v>
      </c>
      <c r="G177" s="49">
        <v>10.35</v>
      </c>
      <c r="H177" s="49">
        <v>165.6</v>
      </c>
      <c r="I177" s="5" t="s">
        <v>37</v>
      </c>
      <c r="J177" s="5" t="s">
        <v>29</v>
      </c>
      <c r="K177" s="5"/>
    </row>
    <row r="178" spans="1:11" x14ac:dyDescent="0.3">
      <c r="A178" s="2">
        <v>45713</v>
      </c>
      <c r="B178" s="3" t="s">
        <v>18</v>
      </c>
      <c r="C178" s="3" t="s">
        <v>12</v>
      </c>
      <c r="D178" s="3" t="s">
        <v>35</v>
      </c>
      <c r="E178" s="3" t="s">
        <v>32</v>
      </c>
      <c r="F178" s="3">
        <v>115</v>
      </c>
      <c r="G178" s="48">
        <v>13.9</v>
      </c>
      <c r="H178" s="48">
        <v>1598.5</v>
      </c>
      <c r="I178" s="3" t="s">
        <v>28</v>
      </c>
      <c r="J178" s="3" t="s">
        <v>29</v>
      </c>
      <c r="K178" s="3"/>
    </row>
    <row r="179" spans="1:11" x14ac:dyDescent="0.3">
      <c r="A179" s="4">
        <v>45713</v>
      </c>
      <c r="B179" s="5" t="s">
        <v>25</v>
      </c>
      <c r="C179" s="5" t="s">
        <v>45</v>
      </c>
      <c r="D179" s="5" t="s">
        <v>59</v>
      </c>
      <c r="E179" s="5" t="s">
        <v>50</v>
      </c>
      <c r="F179" s="5">
        <v>172</v>
      </c>
      <c r="G179" s="49">
        <v>31.23</v>
      </c>
      <c r="H179" s="49">
        <v>5371.56</v>
      </c>
      <c r="I179" s="5" t="s">
        <v>37</v>
      </c>
      <c r="J179" s="5" t="s">
        <v>16</v>
      </c>
      <c r="K179" s="5"/>
    </row>
    <row r="180" spans="1:11" x14ac:dyDescent="0.3">
      <c r="A180" s="2">
        <v>45713</v>
      </c>
      <c r="B180" s="3" t="s">
        <v>25</v>
      </c>
      <c r="C180" s="3" t="s">
        <v>19</v>
      </c>
      <c r="D180" s="3" t="s">
        <v>31</v>
      </c>
      <c r="E180" s="3" t="s">
        <v>32</v>
      </c>
      <c r="F180" s="3">
        <v>71</v>
      </c>
      <c r="G180" s="48">
        <v>11.21</v>
      </c>
      <c r="H180" s="48">
        <v>795.91</v>
      </c>
      <c r="I180" s="3" t="s">
        <v>28</v>
      </c>
      <c r="J180" s="3" t="s">
        <v>29</v>
      </c>
      <c r="K180" s="3"/>
    </row>
    <row r="181" spans="1:11" x14ac:dyDescent="0.3">
      <c r="A181" s="4">
        <v>45714</v>
      </c>
      <c r="B181" s="5" t="s">
        <v>11</v>
      </c>
      <c r="C181" s="5" t="s">
        <v>19</v>
      </c>
      <c r="D181" s="5" t="s">
        <v>52</v>
      </c>
      <c r="E181" s="5" t="s">
        <v>27</v>
      </c>
      <c r="F181" s="5">
        <v>86</v>
      </c>
      <c r="G181" s="49">
        <v>50.62</v>
      </c>
      <c r="H181" s="49">
        <v>4353.32</v>
      </c>
      <c r="I181" s="5" t="s">
        <v>37</v>
      </c>
      <c r="J181" s="5" t="s">
        <v>16</v>
      </c>
      <c r="K181" s="5" t="s">
        <v>46</v>
      </c>
    </row>
    <row r="182" spans="1:11" x14ac:dyDescent="0.3">
      <c r="A182" s="2">
        <v>45714</v>
      </c>
      <c r="B182" s="3" t="s">
        <v>66</v>
      </c>
      <c r="C182" s="3" t="s">
        <v>12</v>
      </c>
      <c r="D182" s="3" t="s">
        <v>59</v>
      </c>
      <c r="E182" s="3" t="s">
        <v>50</v>
      </c>
      <c r="F182" s="3">
        <v>149</v>
      </c>
      <c r="G182" s="48">
        <v>30.64</v>
      </c>
      <c r="H182" s="48">
        <v>4565.3599999999997</v>
      </c>
      <c r="I182" s="3" t="s">
        <v>37</v>
      </c>
      <c r="J182" s="3" t="s">
        <v>16</v>
      </c>
      <c r="K182" s="3" t="s">
        <v>46</v>
      </c>
    </row>
    <row r="183" spans="1:11" x14ac:dyDescent="0.3">
      <c r="A183" s="4">
        <v>45714</v>
      </c>
      <c r="B183" s="5" t="s">
        <v>18</v>
      </c>
      <c r="C183" s="5" t="s">
        <v>19</v>
      </c>
      <c r="D183" s="5" t="s">
        <v>49</v>
      </c>
      <c r="E183" s="5" t="s">
        <v>50</v>
      </c>
      <c r="F183" s="5">
        <v>102</v>
      </c>
      <c r="G183" s="49">
        <v>20.75</v>
      </c>
      <c r="H183" s="49">
        <v>2116.5</v>
      </c>
      <c r="I183" s="5" t="s">
        <v>37</v>
      </c>
      <c r="J183" s="5" t="s">
        <v>16</v>
      </c>
      <c r="K183" s="5"/>
    </row>
    <row r="184" spans="1:11" x14ac:dyDescent="0.3">
      <c r="A184" s="2">
        <v>45715</v>
      </c>
      <c r="B184" s="3" t="s">
        <v>34</v>
      </c>
      <c r="C184" s="3" t="s">
        <v>38</v>
      </c>
      <c r="D184" s="3" t="s">
        <v>59</v>
      </c>
      <c r="E184" s="3" t="s">
        <v>50</v>
      </c>
      <c r="F184" s="3">
        <v>127</v>
      </c>
      <c r="G184" s="48">
        <v>31.31</v>
      </c>
      <c r="H184" s="48">
        <v>3976.37</v>
      </c>
      <c r="I184" s="3" t="s">
        <v>23</v>
      </c>
      <c r="J184" s="3" t="s">
        <v>47</v>
      </c>
      <c r="K184" s="3" t="s">
        <v>42</v>
      </c>
    </row>
    <row r="185" spans="1:11" x14ac:dyDescent="0.3">
      <c r="A185" s="4">
        <v>45717</v>
      </c>
      <c r="B185" s="5" t="s">
        <v>18</v>
      </c>
      <c r="C185" s="5" t="s">
        <v>38</v>
      </c>
      <c r="D185" s="5" t="s">
        <v>39</v>
      </c>
      <c r="E185" s="5" t="s">
        <v>40</v>
      </c>
      <c r="F185" s="5">
        <v>64</v>
      </c>
      <c r="G185" s="49">
        <v>54.19</v>
      </c>
      <c r="H185" s="49">
        <v>3468.16</v>
      </c>
      <c r="I185" s="5" t="s">
        <v>23</v>
      </c>
      <c r="J185" s="5" t="s">
        <v>16</v>
      </c>
      <c r="K185" s="5"/>
    </row>
    <row r="186" spans="1:11" x14ac:dyDescent="0.3">
      <c r="A186" s="2">
        <v>45717</v>
      </c>
      <c r="B186" s="3" t="s">
        <v>34</v>
      </c>
      <c r="C186" s="3" t="s">
        <v>38</v>
      </c>
      <c r="D186" s="3" t="s">
        <v>60</v>
      </c>
      <c r="E186" s="3" t="s">
        <v>44</v>
      </c>
      <c r="F186" s="3"/>
      <c r="G186" s="48"/>
      <c r="H186" s="48"/>
      <c r="I186" s="3" t="s">
        <v>15</v>
      </c>
      <c r="J186" s="3" t="s">
        <v>16</v>
      </c>
      <c r="K186" s="3" t="s">
        <v>33</v>
      </c>
    </row>
    <row r="187" spans="1:11" x14ac:dyDescent="0.3">
      <c r="A187" s="4">
        <v>45718</v>
      </c>
      <c r="B187" s="5" t="s">
        <v>73</v>
      </c>
      <c r="C187" s="5" t="s">
        <v>12</v>
      </c>
      <c r="D187" s="5" t="s">
        <v>26</v>
      </c>
      <c r="E187" s="5" t="s">
        <v>27</v>
      </c>
      <c r="F187" s="5">
        <v>156</v>
      </c>
      <c r="G187" s="49">
        <v>58.14</v>
      </c>
      <c r="H187" s="49">
        <v>9069.84</v>
      </c>
      <c r="I187" s="5" t="s">
        <v>28</v>
      </c>
      <c r="J187" s="5" t="s">
        <v>29</v>
      </c>
      <c r="K187" s="5" t="s">
        <v>33</v>
      </c>
    </row>
    <row r="188" spans="1:11" x14ac:dyDescent="0.3">
      <c r="A188" s="2">
        <v>45718</v>
      </c>
      <c r="B188" s="3" t="s">
        <v>36</v>
      </c>
      <c r="C188" s="3" t="s">
        <v>12</v>
      </c>
      <c r="D188" s="3" t="s">
        <v>49</v>
      </c>
      <c r="E188" s="3" t="s">
        <v>50</v>
      </c>
      <c r="F188" s="3">
        <v>87</v>
      </c>
      <c r="G188" s="48">
        <v>19.37</v>
      </c>
      <c r="H188" s="48">
        <v>1685.19</v>
      </c>
      <c r="I188" s="3" t="s">
        <v>28</v>
      </c>
      <c r="J188" s="3" t="s">
        <v>16</v>
      </c>
      <c r="K188" s="3"/>
    </row>
    <row r="189" spans="1:11" x14ac:dyDescent="0.3">
      <c r="A189" s="4">
        <v>45719</v>
      </c>
      <c r="B189" s="5" t="s">
        <v>18</v>
      </c>
      <c r="C189" s="5" t="s">
        <v>12</v>
      </c>
      <c r="D189" s="5" t="s">
        <v>52</v>
      </c>
      <c r="E189" s="5" t="s">
        <v>27</v>
      </c>
      <c r="F189" s="5">
        <v>71</v>
      </c>
      <c r="G189" s="49">
        <v>49.12</v>
      </c>
      <c r="H189" s="49">
        <v>3487.52</v>
      </c>
      <c r="I189" s="5" t="s">
        <v>41</v>
      </c>
      <c r="J189" s="5" t="s">
        <v>16</v>
      </c>
      <c r="K189" s="5"/>
    </row>
    <row r="190" spans="1:11" x14ac:dyDescent="0.3">
      <c r="A190" s="2">
        <v>45719</v>
      </c>
      <c r="B190" s="3" t="s">
        <v>36</v>
      </c>
      <c r="C190" s="3" t="s">
        <v>30</v>
      </c>
      <c r="D190" s="3" t="s">
        <v>58</v>
      </c>
      <c r="E190" s="3" t="s">
        <v>22</v>
      </c>
      <c r="F190" s="3">
        <v>147</v>
      </c>
      <c r="G190" s="48">
        <v>23.76</v>
      </c>
      <c r="H190" s="48">
        <v>3492.72</v>
      </c>
      <c r="I190" s="3" t="s">
        <v>15</v>
      </c>
      <c r="J190" s="3" t="s">
        <v>16</v>
      </c>
      <c r="K190" s="3" t="s">
        <v>42</v>
      </c>
    </row>
    <row r="191" spans="1:11" x14ac:dyDescent="0.3">
      <c r="A191" s="4">
        <v>45720</v>
      </c>
      <c r="B191" s="5" t="s">
        <v>11</v>
      </c>
      <c r="C191" s="5" t="s">
        <v>45</v>
      </c>
      <c r="D191" s="5" t="s">
        <v>43</v>
      </c>
      <c r="E191" s="5" t="s">
        <v>44</v>
      </c>
      <c r="F191" s="5">
        <v>108</v>
      </c>
      <c r="G191" s="49">
        <v>132.07</v>
      </c>
      <c r="H191" s="49">
        <v>14263.56</v>
      </c>
      <c r="I191" s="5" t="s">
        <v>41</v>
      </c>
      <c r="J191" s="5" t="s">
        <v>16</v>
      </c>
      <c r="K191" s="5" t="s">
        <v>33</v>
      </c>
    </row>
    <row r="192" spans="1:11" x14ac:dyDescent="0.3">
      <c r="A192" s="2">
        <v>45720</v>
      </c>
      <c r="B192" s="3" t="s">
        <v>20</v>
      </c>
      <c r="C192" s="3" t="s">
        <v>19</v>
      </c>
      <c r="D192" s="3" t="s">
        <v>58</v>
      </c>
      <c r="E192" s="3" t="s">
        <v>22</v>
      </c>
      <c r="F192" s="3">
        <v>30</v>
      </c>
      <c r="G192" s="48">
        <v>26.43</v>
      </c>
      <c r="H192" s="48">
        <v>792.9</v>
      </c>
      <c r="I192" s="3" t="s">
        <v>37</v>
      </c>
      <c r="J192" s="3" t="s">
        <v>29</v>
      </c>
      <c r="K192" s="3"/>
    </row>
    <row r="193" spans="1:11" x14ac:dyDescent="0.3">
      <c r="A193" s="4">
        <v>45720</v>
      </c>
      <c r="B193" s="5" t="s">
        <v>64</v>
      </c>
      <c r="C193" s="5" t="s">
        <v>30</v>
      </c>
      <c r="D193" s="5" t="s">
        <v>13</v>
      </c>
      <c r="E193" s="5" t="s">
        <v>14</v>
      </c>
      <c r="F193" s="5">
        <v>16</v>
      </c>
      <c r="G193" s="49">
        <v>43.89</v>
      </c>
      <c r="H193" s="49">
        <v>702.24</v>
      </c>
      <c r="I193" s="5" t="s">
        <v>15</v>
      </c>
      <c r="J193" s="5" t="s">
        <v>16</v>
      </c>
      <c r="K193" s="5" t="s">
        <v>24</v>
      </c>
    </row>
    <row r="194" spans="1:11" x14ac:dyDescent="0.3">
      <c r="A194" s="2">
        <v>45720</v>
      </c>
      <c r="B194" s="3" t="s">
        <v>25</v>
      </c>
      <c r="C194" s="3" t="s">
        <v>30</v>
      </c>
      <c r="D194" s="3" t="s">
        <v>31</v>
      </c>
      <c r="E194" s="3" t="s">
        <v>32</v>
      </c>
      <c r="F194" s="3">
        <v>166</v>
      </c>
      <c r="G194" s="48">
        <v>12.08</v>
      </c>
      <c r="H194" s="48">
        <v>2005.28</v>
      </c>
      <c r="I194" s="3" t="s">
        <v>28</v>
      </c>
      <c r="J194" s="3" t="s">
        <v>69</v>
      </c>
      <c r="K194" s="3"/>
    </row>
    <row r="195" spans="1:11" x14ac:dyDescent="0.3">
      <c r="A195" s="4">
        <v>45722</v>
      </c>
      <c r="B195" s="5" t="s">
        <v>20</v>
      </c>
      <c r="C195" s="5" t="s">
        <v>45</v>
      </c>
      <c r="D195" s="5" t="s">
        <v>31</v>
      </c>
      <c r="E195" s="5" t="s">
        <v>32</v>
      </c>
      <c r="F195" s="5">
        <v>42</v>
      </c>
      <c r="G195" s="49">
        <v>12.22</v>
      </c>
      <c r="H195" s="49">
        <v>513.24</v>
      </c>
      <c r="I195" s="5" t="s">
        <v>23</v>
      </c>
      <c r="J195" s="5" t="s">
        <v>47</v>
      </c>
      <c r="K195" s="5" t="s">
        <v>42</v>
      </c>
    </row>
    <row r="196" spans="1:11" x14ac:dyDescent="0.3">
      <c r="A196" s="2">
        <v>45722</v>
      </c>
      <c r="B196" s="3" t="s">
        <v>53</v>
      </c>
      <c r="C196" s="3" t="s">
        <v>38</v>
      </c>
      <c r="D196" s="3" t="s">
        <v>39</v>
      </c>
      <c r="E196" s="3" t="s">
        <v>40</v>
      </c>
      <c r="F196" s="3">
        <v>158</v>
      </c>
      <c r="G196" s="48">
        <v>53.51</v>
      </c>
      <c r="H196" s="48">
        <v>8454.58</v>
      </c>
      <c r="I196" s="3" t="s">
        <v>41</v>
      </c>
      <c r="J196" s="3" t="s">
        <v>16</v>
      </c>
      <c r="K196" s="3"/>
    </row>
    <row r="197" spans="1:11" x14ac:dyDescent="0.3">
      <c r="A197" s="4">
        <v>45722</v>
      </c>
      <c r="B197" s="5" t="s">
        <v>36</v>
      </c>
      <c r="C197" s="5" t="s">
        <v>45</v>
      </c>
      <c r="D197" s="5" t="s">
        <v>59</v>
      </c>
      <c r="E197" s="5" t="s">
        <v>50</v>
      </c>
      <c r="F197" s="5">
        <v>126</v>
      </c>
      <c r="G197" s="49">
        <v>31.15</v>
      </c>
      <c r="H197" s="49">
        <v>3924.9</v>
      </c>
      <c r="I197" s="5" t="s">
        <v>28</v>
      </c>
      <c r="J197" s="5" t="s">
        <v>16</v>
      </c>
      <c r="K197" s="5"/>
    </row>
    <row r="198" spans="1:11" x14ac:dyDescent="0.3">
      <c r="A198" s="2">
        <v>45722</v>
      </c>
      <c r="B198" s="3" t="s">
        <v>18</v>
      </c>
      <c r="C198" s="3" t="s">
        <v>19</v>
      </c>
      <c r="D198" s="3" t="s">
        <v>13</v>
      </c>
      <c r="E198" s="3" t="s">
        <v>14</v>
      </c>
      <c r="F198" s="3">
        <v>181</v>
      </c>
      <c r="G198" s="48">
        <v>48.37</v>
      </c>
      <c r="H198" s="48">
        <v>8754.9699999999993</v>
      </c>
      <c r="I198" s="3" t="s">
        <v>28</v>
      </c>
      <c r="J198" s="3" t="s">
        <v>16</v>
      </c>
      <c r="K198" s="3" t="s">
        <v>42</v>
      </c>
    </row>
    <row r="199" spans="1:11" x14ac:dyDescent="0.3">
      <c r="A199" s="4">
        <v>45723</v>
      </c>
      <c r="B199" s="5" t="s">
        <v>34</v>
      </c>
      <c r="C199" s="5" t="s">
        <v>30</v>
      </c>
      <c r="D199" s="5" t="s">
        <v>21</v>
      </c>
      <c r="E199" s="5" t="s">
        <v>22</v>
      </c>
      <c r="F199" s="5">
        <v>112</v>
      </c>
      <c r="G199" s="49">
        <v>9.5500000000000007</v>
      </c>
      <c r="H199" s="49">
        <v>1069.5999999999999</v>
      </c>
      <c r="I199" s="5" t="s">
        <v>23</v>
      </c>
      <c r="J199" s="5" t="s">
        <v>29</v>
      </c>
      <c r="K199" s="5"/>
    </row>
    <row r="200" spans="1:11" x14ac:dyDescent="0.3">
      <c r="A200" s="2">
        <v>45724</v>
      </c>
      <c r="B200" s="3" t="s">
        <v>74</v>
      </c>
      <c r="C200" s="3" t="s">
        <v>12</v>
      </c>
      <c r="D200" s="3" t="s">
        <v>43</v>
      </c>
      <c r="E200" s="3" t="s">
        <v>44</v>
      </c>
      <c r="F200" s="3">
        <v>189</v>
      </c>
      <c r="G200" s="48">
        <v>126.47</v>
      </c>
      <c r="H200" s="48">
        <v>23902.83</v>
      </c>
      <c r="I200" s="3" t="s">
        <v>28</v>
      </c>
      <c r="J200" s="3" t="s">
        <v>29</v>
      </c>
      <c r="K200" s="3" t="s">
        <v>42</v>
      </c>
    </row>
    <row r="201" spans="1:11" x14ac:dyDescent="0.3">
      <c r="A201" s="4">
        <v>45725</v>
      </c>
      <c r="B201" s="5" t="s">
        <v>25</v>
      </c>
      <c r="C201" s="5" t="s">
        <v>38</v>
      </c>
      <c r="D201" s="5" t="s">
        <v>39</v>
      </c>
      <c r="E201" s="5" t="s">
        <v>40</v>
      </c>
      <c r="F201" s="5">
        <v>153</v>
      </c>
      <c r="G201" s="49">
        <v>57.17</v>
      </c>
      <c r="H201" s="49">
        <v>8747.01</v>
      </c>
      <c r="I201" s="5" t="s">
        <v>28</v>
      </c>
      <c r="J201" s="5" t="s">
        <v>16</v>
      </c>
      <c r="K201" s="5" t="s">
        <v>46</v>
      </c>
    </row>
    <row r="202" spans="1:11" x14ac:dyDescent="0.3">
      <c r="A202" s="2">
        <v>45725</v>
      </c>
      <c r="B202" s="3" t="s">
        <v>18</v>
      </c>
      <c r="C202" s="3" t="s">
        <v>38</v>
      </c>
      <c r="D202" s="3" t="s">
        <v>58</v>
      </c>
      <c r="E202" s="3" t="s">
        <v>22</v>
      </c>
      <c r="F202" s="3">
        <v>175</v>
      </c>
      <c r="G202" s="48">
        <v>24.26</v>
      </c>
      <c r="H202" s="48">
        <v>4245.5</v>
      </c>
      <c r="I202" s="3" t="s">
        <v>15</v>
      </c>
      <c r="J202" s="3" t="s">
        <v>57</v>
      </c>
      <c r="K202" s="3"/>
    </row>
    <row r="203" spans="1:11" x14ac:dyDescent="0.3">
      <c r="A203" s="4">
        <v>45725</v>
      </c>
      <c r="B203" s="5" t="s">
        <v>20</v>
      </c>
      <c r="C203" s="5" t="s">
        <v>19</v>
      </c>
      <c r="D203" s="5" t="s">
        <v>26</v>
      </c>
      <c r="E203" s="5" t="s">
        <v>27</v>
      </c>
      <c r="F203" s="5">
        <v>166</v>
      </c>
      <c r="G203" s="49">
        <v>52.22</v>
      </c>
      <c r="H203" s="49">
        <v>8668.52</v>
      </c>
      <c r="I203" s="5" t="s">
        <v>37</v>
      </c>
      <c r="J203" s="5" t="s">
        <v>16</v>
      </c>
      <c r="K203" s="5" t="s">
        <v>17</v>
      </c>
    </row>
    <row r="204" spans="1:11" x14ac:dyDescent="0.3">
      <c r="A204" s="2">
        <v>45725</v>
      </c>
      <c r="B204" s="3" t="s">
        <v>20</v>
      </c>
      <c r="C204" s="3" t="s">
        <v>45</v>
      </c>
      <c r="D204" s="3" t="s">
        <v>26</v>
      </c>
      <c r="E204" s="3" t="s">
        <v>27</v>
      </c>
      <c r="F204" s="3">
        <v>73</v>
      </c>
      <c r="G204" s="48">
        <v>56.62</v>
      </c>
      <c r="H204" s="48">
        <v>4133.26</v>
      </c>
      <c r="I204" s="3" t="s">
        <v>37</v>
      </c>
      <c r="J204" s="3" t="s">
        <v>61</v>
      </c>
      <c r="K204" s="3" t="s">
        <v>33</v>
      </c>
    </row>
    <row r="205" spans="1:11" x14ac:dyDescent="0.3">
      <c r="A205" s="4">
        <v>45726</v>
      </c>
      <c r="B205" s="5" t="s">
        <v>25</v>
      </c>
      <c r="C205" s="5" t="s">
        <v>30</v>
      </c>
      <c r="D205" s="5" t="s">
        <v>13</v>
      </c>
      <c r="E205" s="5" t="s">
        <v>14</v>
      </c>
      <c r="F205" s="5">
        <v>19</v>
      </c>
      <c r="G205" s="49">
        <v>43</v>
      </c>
      <c r="H205" s="49">
        <v>817</v>
      </c>
      <c r="I205" s="5" t="s">
        <v>15</v>
      </c>
      <c r="J205" s="5" t="s">
        <v>16</v>
      </c>
      <c r="K205" s="5"/>
    </row>
    <row r="206" spans="1:11" x14ac:dyDescent="0.3">
      <c r="A206" s="2">
        <v>45726</v>
      </c>
      <c r="B206" s="3" t="s">
        <v>18</v>
      </c>
      <c r="C206" s="3" t="s">
        <v>45</v>
      </c>
      <c r="D206" s="3" t="s">
        <v>21</v>
      </c>
      <c r="E206" s="3" t="s">
        <v>22</v>
      </c>
      <c r="F206" s="3">
        <v>20</v>
      </c>
      <c r="G206" s="48">
        <v>9.5</v>
      </c>
      <c r="H206" s="48">
        <v>190</v>
      </c>
      <c r="I206" s="3" t="s">
        <v>41</v>
      </c>
      <c r="J206" s="3" t="s">
        <v>47</v>
      </c>
      <c r="K206" s="3" t="s">
        <v>42</v>
      </c>
    </row>
    <row r="207" spans="1:11" x14ac:dyDescent="0.3">
      <c r="A207" s="4">
        <v>45726</v>
      </c>
      <c r="B207" s="5" t="s">
        <v>25</v>
      </c>
      <c r="C207" s="5" t="s">
        <v>12</v>
      </c>
      <c r="D207" s="5" t="s">
        <v>39</v>
      </c>
      <c r="E207" s="5" t="s">
        <v>40</v>
      </c>
      <c r="F207" s="5">
        <v>172</v>
      </c>
      <c r="G207" s="49">
        <v>54.03</v>
      </c>
      <c r="H207" s="49">
        <v>9293.16</v>
      </c>
      <c r="I207" s="5" t="s">
        <v>37</v>
      </c>
      <c r="J207" s="5" t="s">
        <v>16</v>
      </c>
      <c r="K207" s="5"/>
    </row>
    <row r="208" spans="1:11" x14ac:dyDescent="0.3">
      <c r="A208" s="2">
        <v>45726</v>
      </c>
      <c r="B208" s="3" t="s">
        <v>36</v>
      </c>
      <c r="C208" s="3" t="s">
        <v>19</v>
      </c>
      <c r="D208" s="3" t="s">
        <v>48</v>
      </c>
      <c r="E208" s="3" t="s">
        <v>14</v>
      </c>
      <c r="F208" s="3">
        <v>150</v>
      </c>
      <c r="G208" s="48">
        <v>85.9</v>
      </c>
      <c r="H208" s="48">
        <v>12885</v>
      </c>
      <c r="I208" s="3" t="s">
        <v>15</v>
      </c>
      <c r="J208" s="3" t="s">
        <v>16</v>
      </c>
      <c r="K208" s="3" t="s">
        <v>17</v>
      </c>
    </row>
    <row r="209" spans="1:11" x14ac:dyDescent="0.3">
      <c r="A209" s="4">
        <v>45726</v>
      </c>
      <c r="B209" s="5" t="s">
        <v>18</v>
      </c>
      <c r="C209" s="5" t="s">
        <v>45</v>
      </c>
      <c r="D209" s="5" t="s">
        <v>58</v>
      </c>
      <c r="E209" s="5" t="s">
        <v>22</v>
      </c>
      <c r="F209" s="5">
        <v>32</v>
      </c>
      <c r="G209" s="49">
        <v>23.85</v>
      </c>
      <c r="H209" s="49">
        <v>763.2</v>
      </c>
      <c r="I209" s="5" t="s">
        <v>37</v>
      </c>
      <c r="J209" s="5" t="s">
        <v>47</v>
      </c>
      <c r="K209" s="5" t="s">
        <v>46</v>
      </c>
    </row>
    <row r="210" spans="1:11" x14ac:dyDescent="0.3">
      <c r="A210" s="2">
        <v>45727</v>
      </c>
      <c r="B210" s="3" t="s">
        <v>18</v>
      </c>
      <c r="C210" s="3" t="s">
        <v>12</v>
      </c>
      <c r="D210" s="3" t="s">
        <v>60</v>
      </c>
      <c r="E210" s="3" t="s">
        <v>44</v>
      </c>
      <c r="F210" s="3">
        <v>109</v>
      </c>
      <c r="G210" s="48">
        <v>123.44</v>
      </c>
      <c r="H210" s="48">
        <v>13454.96</v>
      </c>
      <c r="I210" s="3" t="s">
        <v>15</v>
      </c>
      <c r="J210" s="3" t="s">
        <v>29</v>
      </c>
      <c r="K210" s="3" t="s">
        <v>46</v>
      </c>
    </row>
    <row r="211" spans="1:11" x14ac:dyDescent="0.3">
      <c r="A211" s="4">
        <v>45727</v>
      </c>
      <c r="B211" s="5" t="s">
        <v>34</v>
      </c>
      <c r="C211" s="5" t="s">
        <v>30</v>
      </c>
      <c r="D211" s="5" t="s">
        <v>31</v>
      </c>
      <c r="E211" s="5" t="s">
        <v>32</v>
      </c>
      <c r="F211" s="5">
        <v>177</v>
      </c>
      <c r="G211" s="49">
        <v>11.93</v>
      </c>
      <c r="H211" s="49">
        <v>2111.61</v>
      </c>
      <c r="I211" s="5" t="s">
        <v>41</v>
      </c>
      <c r="J211" s="5" t="s">
        <v>47</v>
      </c>
      <c r="K211" s="5"/>
    </row>
    <row r="212" spans="1:11" x14ac:dyDescent="0.3">
      <c r="A212" s="2">
        <v>45727</v>
      </c>
      <c r="B212" s="3" t="s">
        <v>20</v>
      </c>
      <c r="C212" s="3" t="s">
        <v>19</v>
      </c>
      <c r="D212" s="3" t="s">
        <v>43</v>
      </c>
      <c r="E212" s="3" t="s">
        <v>44</v>
      </c>
      <c r="F212" s="3">
        <v>18</v>
      </c>
      <c r="G212" s="48">
        <v>120.84</v>
      </c>
      <c r="H212" s="48">
        <v>2175.12</v>
      </c>
      <c r="I212" s="3" t="s">
        <v>41</v>
      </c>
      <c r="J212" s="3" t="s">
        <v>29</v>
      </c>
      <c r="K212" s="3"/>
    </row>
    <row r="213" spans="1:11" x14ac:dyDescent="0.3">
      <c r="A213" s="4">
        <v>45728</v>
      </c>
      <c r="B213" s="5" t="s">
        <v>53</v>
      </c>
      <c r="C213" s="5" t="s">
        <v>12</v>
      </c>
      <c r="D213" s="5" t="s">
        <v>26</v>
      </c>
      <c r="E213" s="5" t="s">
        <v>27</v>
      </c>
      <c r="F213" s="5">
        <v>198</v>
      </c>
      <c r="G213" s="49">
        <v>58</v>
      </c>
      <c r="H213" s="49">
        <v>11484</v>
      </c>
      <c r="I213" s="5" t="s">
        <v>15</v>
      </c>
      <c r="J213" s="5" t="s">
        <v>16</v>
      </c>
      <c r="K213" s="5" t="s">
        <v>46</v>
      </c>
    </row>
    <row r="214" spans="1:11" x14ac:dyDescent="0.3">
      <c r="A214" s="2">
        <v>45729</v>
      </c>
      <c r="B214" s="3" t="s">
        <v>18</v>
      </c>
      <c r="C214" s="3" t="s">
        <v>19</v>
      </c>
      <c r="D214" s="3" t="s">
        <v>54</v>
      </c>
      <c r="E214" s="3" t="s">
        <v>44</v>
      </c>
      <c r="F214" s="3">
        <v>154</v>
      </c>
      <c r="G214" s="48">
        <v>118.75</v>
      </c>
      <c r="H214" s="48">
        <v>18287.5</v>
      </c>
      <c r="I214" s="3" t="s">
        <v>28</v>
      </c>
      <c r="J214" s="3" t="s">
        <v>16</v>
      </c>
      <c r="K214" s="3"/>
    </row>
    <row r="215" spans="1:11" x14ac:dyDescent="0.3">
      <c r="A215" s="4">
        <v>45729</v>
      </c>
      <c r="B215" s="5" t="s">
        <v>20</v>
      </c>
      <c r="C215" s="5" t="s">
        <v>38</v>
      </c>
      <c r="D215" s="5" t="s">
        <v>48</v>
      </c>
      <c r="E215" s="5" t="s">
        <v>14</v>
      </c>
      <c r="F215" s="5">
        <v>110</v>
      </c>
      <c r="G215" s="49">
        <v>79.39</v>
      </c>
      <c r="H215" s="49">
        <v>8732.9</v>
      </c>
      <c r="I215" s="5" t="s">
        <v>37</v>
      </c>
      <c r="J215" s="5" t="s">
        <v>47</v>
      </c>
      <c r="K215" s="5" t="s">
        <v>33</v>
      </c>
    </row>
    <row r="216" spans="1:11" x14ac:dyDescent="0.3">
      <c r="A216" s="2">
        <v>45729</v>
      </c>
      <c r="B216" s="3" t="s">
        <v>56</v>
      </c>
      <c r="C216" s="3" t="s">
        <v>12</v>
      </c>
      <c r="D216" s="3" t="s">
        <v>39</v>
      </c>
      <c r="E216" s="3" t="s">
        <v>40</v>
      </c>
      <c r="F216" s="3">
        <v>73</v>
      </c>
      <c r="G216" s="48">
        <v>54.42</v>
      </c>
      <c r="H216" s="48">
        <v>3972.66</v>
      </c>
      <c r="I216" s="3" t="s">
        <v>15</v>
      </c>
      <c r="J216" s="3" t="s">
        <v>16</v>
      </c>
      <c r="K216" s="3" t="s">
        <v>33</v>
      </c>
    </row>
    <row r="217" spans="1:11" x14ac:dyDescent="0.3">
      <c r="A217" s="4">
        <v>45730</v>
      </c>
      <c r="B217" s="5" t="s">
        <v>11</v>
      </c>
      <c r="C217" s="5" t="s">
        <v>45</v>
      </c>
      <c r="D217" s="5" t="s">
        <v>52</v>
      </c>
      <c r="E217" s="5" t="s">
        <v>27</v>
      </c>
      <c r="F217" s="5">
        <v>136</v>
      </c>
      <c r="G217" s="49">
        <v>45.19</v>
      </c>
      <c r="H217" s="49">
        <v>6145.84</v>
      </c>
      <c r="I217" s="5" t="s">
        <v>37</v>
      </c>
      <c r="J217" s="5" t="s">
        <v>16</v>
      </c>
      <c r="K217" s="5" t="s">
        <v>24</v>
      </c>
    </row>
    <row r="218" spans="1:11" x14ac:dyDescent="0.3">
      <c r="A218" s="2">
        <v>45730</v>
      </c>
      <c r="B218" s="3" t="s">
        <v>25</v>
      </c>
      <c r="C218" s="3" t="s">
        <v>45</v>
      </c>
      <c r="D218" s="3" t="s">
        <v>60</v>
      </c>
      <c r="E218" s="3" t="s">
        <v>44</v>
      </c>
      <c r="F218" s="3">
        <v>195</v>
      </c>
      <c r="G218" s="48">
        <v>114.51</v>
      </c>
      <c r="H218" s="48">
        <v>22329.45</v>
      </c>
      <c r="I218" s="3" t="s">
        <v>37</v>
      </c>
      <c r="J218" s="3" t="s">
        <v>16</v>
      </c>
      <c r="K218" s="3"/>
    </row>
    <row r="219" spans="1:11" x14ac:dyDescent="0.3">
      <c r="A219" s="4">
        <v>45730</v>
      </c>
      <c r="B219" s="5" t="s">
        <v>34</v>
      </c>
      <c r="C219" s="5" t="s">
        <v>45</v>
      </c>
      <c r="D219" s="5" t="s">
        <v>49</v>
      </c>
      <c r="E219" s="5" t="s">
        <v>50</v>
      </c>
      <c r="F219" s="5">
        <v>77</v>
      </c>
      <c r="G219" s="49">
        <v>19.79</v>
      </c>
      <c r="H219" s="49">
        <v>1523.83</v>
      </c>
      <c r="I219" s="5" t="s">
        <v>15</v>
      </c>
      <c r="J219" s="5" t="s">
        <v>29</v>
      </c>
      <c r="K219" s="5" t="s">
        <v>17</v>
      </c>
    </row>
    <row r="220" spans="1:11" x14ac:dyDescent="0.3">
      <c r="A220" s="2">
        <v>45731</v>
      </c>
      <c r="B220" s="3" t="s">
        <v>25</v>
      </c>
      <c r="C220" s="3" t="s">
        <v>30</v>
      </c>
      <c r="D220" s="3" t="s">
        <v>26</v>
      </c>
      <c r="E220" s="3" t="s">
        <v>27</v>
      </c>
      <c r="F220" s="3">
        <v>98</v>
      </c>
      <c r="G220" s="48">
        <v>53.23</v>
      </c>
      <c r="H220" s="48">
        <v>5216.54</v>
      </c>
      <c r="I220" s="3" t="s">
        <v>28</v>
      </c>
      <c r="J220" s="3" t="s">
        <v>29</v>
      </c>
      <c r="K220" s="3" t="s">
        <v>33</v>
      </c>
    </row>
    <row r="221" spans="1:11" x14ac:dyDescent="0.3">
      <c r="A221" s="4">
        <v>45731</v>
      </c>
      <c r="B221" s="5" t="s">
        <v>53</v>
      </c>
      <c r="C221" s="5" t="s">
        <v>30</v>
      </c>
      <c r="D221" s="5" t="s">
        <v>21</v>
      </c>
      <c r="E221" s="5" t="s">
        <v>22</v>
      </c>
      <c r="F221" s="5">
        <v>162</v>
      </c>
      <c r="G221" s="49">
        <v>9.94</v>
      </c>
      <c r="H221" s="49">
        <v>1610.28</v>
      </c>
      <c r="I221" s="5" t="s">
        <v>41</v>
      </c>
      <c r="J221" s="5" t="s">
        <v>16</v>
      </c>
      <c r="K221" s="5"/>
    </row>
    <row r="222" spans="1:11" x14ac:dyDescent="0.3">
      <c r="A222" s="2">
        <v>45731</v>
      </c>
      <c r="B222" s="3" t="s">
        <v>53</v>
      </c>
      <c r="C222" s="3" t="s">
        <v>12</v>
      </c>
      <c r="D222" s="3" t="s">
        <v>52</v>
      </c>
      <c r="E222" s="3" t="s">
        <v>27</v>
      </c>
      <c r="F222" s="3">
        <v>125</v>
      </c>
      <c r="G222" s="48">
        <v>46.31</v>
      </c>
      <c r="H222" s="48">
        <v>5788.75</v>
      </c>
      <c r="I222" s="3" t="s">
        <v>41</v>
      </c>
      <c r="J222" s="3" t="s">
        <v>16</v>
      </c>
      <c r="K222" s="3" t="s">
        <v>42</v>
      </c>
    </row>
    <row r="223" spans="1:11" x14ac:dyDescent="0.3">
      <c r="A223" s="4">
        <v>45731</v>
      </c>
      <c r="B223" s="5" t="s">
        <v>11</v>
      </c>
      <c r="C223" s="5" t="s">
        <v>45</v>
      </c>
      <c r="D223" s="5" t="s">
        <v>60</v>
      </c>
      <c r="E223" s="5" t="s">
        <v>44</v>
      </c>
      <c r="F223" s="5">
        <v>186</v>
      </c>
      <c r="G223" s="49">
        <v>128.58000000000001</v>
      </c>
      <c r="H223" s="49">
        <v>23915.88</v>
      </c>
      <c r="I223" s="5" t="s">
        <v>23</v>
      </c>
      <c r="J223" s="5" t="s">
        <v>57</v>
      </c>
      <c r="K223" s="5"/>
    </row>
    <row r="224" spans="1:11" x14ac:dyDescent="0.3">
      <c r="A224" s="2">
        <v>45732</v>
      </c>
      <c r="B224" s="3" t="s">
        <v>18</v>
      </c>
      <c r="C224" s="3" t="s">
        <v>12</v>
      </c>
      <c r="D224" s="3" t="s">
        <v>59</v>
      </c>
      <c r="E224" s="3" t="s">
        <v>50</v>
      </c>
      <c r="F224" s="3">
        <v>31</v>
      </c>
      <c r="G224" s="48">
        <v>30.29</v>
      </c>
      <c r="H224" s="48">
        <v>938.99</v>
      </c>
      <c r="I224" s="3" t="s">
        <v>41</v>
      </c>
      <c r="J224" s="3" t="s">
        <v>47</v>
      </c>
      <c r="K224" s="3"/>
    </row>
    <row r="225" spans="1:11" x14ac:dyDescent="0.3">
      <c r="A225" s="4">
        <v>45732</v>
      </c>
      <c r="B225" s="5" t="s">
        <v>53</v>
      </c>
      <c r="C225" s="5" t="s">
        <v>12</v>
      </c>
      <c r="D225" s="5" t="s">
        <v>58</v>
      </c>
      <c r="E225" s="5" t="s">
        <v>22</v>
      </c>
      <c r="F225" s="5">
        <v>137</v>
      </c>
      <c r="G225" s="49">
        <v>24.21</v>
      </c>
      <c r="H225" s="49">
        <v>3316.77</v>
      </c>
      <c r="I225" s="5" t="s">
        <v>23</v>
      </c>
      <c r="J225" s="5" t="s">
        <v>29</v>
      </c>
      <c r="K225" s="5" t="s">
        <v>17</v>
      </c>
    </row>
    <row r="226" spans="1:11" x14ac:dyDescent="0.3">
      <c r="A226" s="2">
        <v>45733</v>
      </c>
      <c r="B226" s="3" t="s">
        <v>36</v>
      </c>
      <c r="C226" s="3" t="s">
        <v>30</v>
      </c>
      <c r="D226" s="3" t="s">
        <v>59</v>
      </c>
      <c r="E226" s="3" t="s">
        <v>50</v>
      </c>
      <c r="F226" s="3">
        <v>141</v>
      </c>
      <c r="G226" s="48">
        <v>31.81</v>
      </c>
      <c r="H226" s="48">
        <v>4485.21</v>
      </c>
      <c r="I226" s="3" t="s">
        <v>41</v>
      </c>
      <c r="J226" s="3" t="s">
        <v>29</v>
      </c>
      <c r="K226" s="3"/>
    </row>
    <row r="227" spans="1:11" x14ac:dyDescent="0.3">
      <c r="A227" s="4">
        <v>45734</v>
      </c>
      <c r="B227" s="5" t="s">
        <v>11</v>
      </c>
      <c r="C227" s="5" t="s">
        <v>30</v>
      </c>
      <c r="D227" s="5" t="s">
        <v>48</v>
      </c>
      <c r="E227" s="5" t="s">
        <v>14</v>
      </c>
      <c r="F227" s="5">
        <v>94</v>
      </c>
      <c r="G227" s="49">
        <v>91.53</v>
      </c>
      <c r="H227" s="49">
        <v>8603.82</v>
      </c>
      <c r="I227" s="5" t="s">
        <v>15</v>
      </c>
      <c r="J227" s="5" t="s">
        <v>16</v>
      </c>
      <c r="K227" s="5"/>
    </row>
    <row r="228" spans="1:11" x14ac:dyDescent="0.3">
      <c r="A228" s="2">
        <v>45734</v>
      </c>
      <c r="B228" s="3" t="s">
        <v>11</v>
      </c>
      <c r="C228" s="3" t="s">
        <v>45</v>
      </c>
      <c r="D228" s="3" t="s">
        <v>13</v>
      </c>
      <c r="E228" s="3" t="s">
        <v>14</v>
      </c>
      <c r="F228" s="3">
        <v>146</v>
      </c>
      <c r="G228" s="48">
        <v>43.05</v>
      </c>
      <c r="H228" s="48">
        <v>6285.3</v>
      </c>
      <c r="I228" s="3" t="s">
        <v>15</v>
      </c>
      <c r="J228" s="3" t="s">
        <v>16</v>
      </c>
      <c r="K228" s="3"/>
    </row>
    <row r="229" spans="1:11" x14ac:dyDescent="0.3">
      <c r="A229" s="4">
        <v>45734</v>
      </c>
      <c r="B229" s="5" t="s">
        <v>25</v>
      </c>
      <c r="C229" s="5" t="s">
        <v>45</v>
      </c>
      <c r="D229" s="5" t="s">
        <v>35</v>
      </c>
      <c r="E229" s="5" t="s">
        <v>32</v>
      </c>
      <c r="F229" s="5">
        <v>155</v>
      </c>
      <c r="G229" s="49">
        <v>13.75</v>
      </c>
      <c r="H229" s="49">
        <v>2131.25</v>
      </c>
      <c r="I229" s="5" t="s">
        <v>23</v>
      </c>
      <c r="J229" s="5" t="s">
        <v>16</v>
      </c>
      <c r="K229" s="5"/>
    </row>
    <row r="230" spans="1:11" x14ac:dyDescent="0.3">
      <c r="A230" s="2">
        <v>45734</v>
      </c>
      <c r="B230" s="3" t="s">
        <v>20</v>
      </c>
      <c r="C230" s="3" t="s">
        <v>30</v>
      </c>
      <c r="D230" s="3" t="s">
        <v>60</v>
      </c>
      <c r="E230" s="3" t="s">
        <v>44</v>
      </c>
      <c r="F230" s="3">
        <v>110</v>
      </c>
      <c r="G230" s="48">
        <v>126.53</v>
      </c>
      <c r="H230" s="48">
        <v>13918.3</v>
      </c>
      <c r="I230" s="3" t="s">
        <v>37</v>
      </c>
      <c r="J230" s="3" t="s">
        <v>29</v>
      </c>
      <c r="K230" s="3" t="s">
        <v>17</v>
      </c>
    </row>
    <row r="231" spans="1:11" x14ac:dyDescent="0.3">
      <c r="A231" s="4">
        <v>45734</v>
      </c>
      <c r="B231" s="5" t="s">
        <v>53</v>
      </c>
      <c r="C231" s="5" t="s">
        <v>12</v>
      </c>
      <c r="D231" s="5" t="s">
        <v>49</v>
      </c>
      <c r="E231" s="5" t="s">
        <v>50</v>
      </c>
      <c r="F231" s="5"/>
      <c r="G231" s="49">
        <v>20.23</v>
      </c>
      <c r="H231" s="49"/>
      <c r="I231" s="5" t="s">
        <v>37</v>
      </c>
      <c r="J231" s="5" t="s">
        <v>47</v>
      </c>
      <c r="K231" s="5" t="s">
        <v>17</v>
      </c>
    </row>
    <row r="232" spans="1:11" x14ac:dyDescent="0.3">
      <c r="A232" s="2">
        <v>45735</v>
      </c>
      <c r="B232" s="3" t="s">
        <v>11</v>
      </c>
      <c r="C232" s="3" t="s">
        <v>30</v>
      </c>
      <c r="D232" s="3" t="s">
        <v>60</v>
      </c>
      <c r="E232" s="3" t="s">
        <v>44</v>
      </c>
      <c r="F232" s="3">
        <v>132</v>
      </c>
      <c r="G232" s="48">
        <v>118.58</v>
      </c>
      <c r="H232" s="48">
        <v>15652.56</v>
      </c>
      <c r="I232" s="3" t="s">
        <v>15</v>
      </c>
      <c r="J232" s="3" t="s">
        <v>29</v>
      </c>
      <c r="K232" s="3"/>
    </row>
    <row r="233" spans="1:11" x14ac:dyDescent="0.3">
      <c r="A233" s="4">
        <v>45735</v>
      </c>
      <c r="B233" s="5" t="s">
        <v>25</v>
      </c>
      <c r="C233" s="5" t="s">
        <v>45</v>
      </c>
      <c r="D233" s="5" t="s">
        <v>35</v>
      </c>
      <c r="E233" s="5" t="s">
        <v>32</v>
      </c>
      <c r="F233" s="5">
        <v>115</v>
      </c>
      <c r="G233" s="49">
        <v>13.02</v>
      </c>
      <c r="H233" s="49">
        <v>1497.3</v>
      </c>
      <c r="I233" s="5" t="s">
        <v>15</v>
      </c>
      <c r="J233" s="5" t="s">
        <v>16</v>
      </c>
      <c r="K233" s="5" t="s">
        <v>17</v>
      </c>
    </row>
    <row r="234" spans="1:11" x14ac:dyDescent="0.3">
      <c r="A234" s="2">
        <v>45735</v>
      </c>
      <c r="B234" s="3" t="s">
        <v>34</v>
      </c>
      <c r="C234" s="3" t="s">
        <v>12</v>
      </c>
      <c r="D234" s="3" t="s">
        <v>43</v>
      </c>
      <c r="E234" s="3" t="s">
        <v>44</v>
      </c>
      <c r="F234" s="3">
        <v>26</v>
      </c>
      <c r="G234" s="48">
        <v>125.34</v>
      </c>
      <c r="H234" s="48">
        <v>3258.84</v>
      </c>
      <c r="I234" s="3" t="s">
        <v>23</v>
      </c>
      <c r="J234" s="3" t="s">
        <v>16</v>
      </c>
      <c r="K234" s="3" t="s">
        <v>17</v>
      </c>
    </row>
    <row r="235" spans="1:11" x14ac:dyDescent="0.3">
      <c r="A235" s="4">
        <v>45735</v>
      </c>
      <c r="B235" s="5" t="s">
        <v>36</v>
      </c>
      <c r="C235" s="5" t="s">
        <v>38</v>
      </c>
      <c r="D235" s="5" t="s">
        <v>43</v>
      </c>
      <c r="E235" s="5" t="s">
        <v>44</v>
      </c>
      <c r="F235" s="5">
        <v>197</v>
      </c>
      <c r="G235" s="49">
        <v>136.07</v>
      </c>
      <c r="H235" s="49">
        <v>26805.79</v>
      </c>
      <c r="I235" s="5" t="s">
        <v>37</v>
      </c>
      <c r="J235" s="5" t="s">
        <v>16</v>
      </c>
      <c r="K235" s="5" t="s">
        <v>42</v>
      </c>
    </row>
    <row r="236" spans="1:11" x14ac:dyDescent="0.3">
      <c r="A236" s="2">
        <v>45735</v>
      </c>
      <c r="B236" s="3" t="s">
        <v>51</v>
      </c>
      <c r="C236" s="3" t="s">
        <v>30</v>
      </c>
      <c r="D236" s="3" t="s">
        <v>59</v>
      </c>
      <c r="E236" s="3" t="s">
        <v>50</v>
      </c>
      <c r="F236" s="3">
        <v>41</v>
      </c>
      <c r="G236" s="48">
        <v>28.59</v>
      </c>
      <c r="H236" s="48">
        <v>1172.19</v>
      </c>
      <c r="I236" s="3" t="s">
        <v>23</v>
      </c>
      <c r="J236" s="3" t="s">
        <v>16</v>
      </c>
      <c r="K236" s="3" t="s">
        <v>24</v>
      </c>
    </row>
    <row r="237" spans="1:11" x14ac:dyDescent="0.3">
      <c r="A237" s="4">
        <v>45736</v>
      </c>
      <c r="B237" s="5" t="s">
        <v>25</v>
      </c>
      <c r="C237" s="5" t="s">
        <v>30</v>
      </c>
      <c r="D237" s="5" t="s">
        <v>49</v>
      </c>
      <c r="E237" s="5" t="s">
        <v>50</v>
      </c>
      <c r="F237" s="5">
        <v>21</v>
      </c>
      <c r="G237" s="49">
        <v>19.329999999999998</v>
      </c>
      <c r="H237" s="49">
        <v>405.93</v>
      </c>
      <c r="I237" s="5" t="s">
        <v>41</v>
      </c>
      <c r="J237" s="5" t="s">
        <v>16</v>
      </c>
      <c r="K237" s="5"/>
    </row>
    <row r="238" spans="1:11" x14ac:dyDescent="0.3">
      <c r="A238" s="2">
        <v>45736</v>
      </c>
      <c r="B238" s="3" t="s">
        <v>53</v>
      </c>
      <c r="C238" s="3" t="s">
        <v>19</v>
      </c>
      <c r="D238" s="3" t="s">
        <v>43</v>
      </c>
      <c r="E238" s="3" t="s">
        <v>44</v>
      </c>
      <c r="F238" s="3">
        <v>15</v>
      </c>
      <c r="G238" s="48">
        <v>120.38</v>
      </c>
      <c r="H238" s="48">
        <v>1805.7</v>
      </c>
      <c r="I238" s="3" t="s">
        <v>23</v>
      </c>
      <c r="J238" s="3" t="s">
        <v>47</v>
      </c>
      <c r="K238" s="3" t="s">
        <v>17</v>
      </c>
    </row>
    <row r="239" spans="1:11" x14ac:dyDescent="0.3">
      <c r="A239" s="4">
        <v>45737</v>
      </c>
      <c r="B239" s="5" t="s">
        <v>53</v>
      </c>
      <c r="C239" s="5" t="s">
        <v>45</v>
      </c>
      <c r="D239" s="5" t="s">
        <v>60</v>
      </c>
      <c r="E239" s="5" t="s">
        <v>44</v>
      </c>
      <c r="F239" s="5">
        <v>89</v>
      </c>
      <c r="G239" s="49">
        <v>127.83</v>
      </c>
      <c r="H239" s="49">
        <v>11376.87</v>
      </c>
      <c r="I239" s="5" t="s">
        <v>15</v>
      </c>
      <c r="J239" s="5" t="s">
        <v>16</v>
      </c>
      <c r="K239" s="5"/>
    </row>
    <row r="240" spans="1:11" x14ac:dyDescent="0.3">
      <c r="A240" s="2">
        <v>45737</v>
      </c>
      <c r="B240" s="3" t="s">
        <v>18</v>
      </c>
      <c r="C240" s="3" t="s">
        <v>12</v>
      </c>
      <c r="D240" s="3" t="s">
        <v>59</v>
      </c>
      <c r="E240" s="3" t="s">
        <v>50</v>
      </c>
      <c r="F240" s="3">
        <v>38</v>
      </c>
      <c r="G240" s="48">
        <v>29.95</v>
      </c>
      <c r="H240" s="48">
        <v>1138.0999999999999</v>
      </c>
      <c r="I240" s="3" t="s">
        <v>15</v>
      </c>
      <c r="J240" s="3" t="s">
        <v>29</v>
      </c>
      <c r="K240" s="3" t="s">
        <v>46</v>
      </c>
    </row>
    <row r="241" spans="1:11" x14ac:dyDescent="0.3">
      <c r="A241" s="4">
        <v>45738</v>
      </c>
      <c r="B241" s="5" t="s">
        <v>56</v>
      </c>
      <c r="C241" s="5" t="s">
        <v>30</v>
      </c>
      <c r="D241" s="5" t="s">
        <v>21</v>
      </c>
      <c r="E241" s="5" t="s">
        <v>22</v>
      </c>
      <c r="F241" s="5">
        <v>132</v>
      </c>
      <c r="G241" s="49">
        <v>10.56</v>
      </c>
      <c r="H241" s="49">
        <v>1393.92</v>
      </c>
      <c r="I241" s="5" t="s">
        <v>37</v>
      </c>
      <c r="J241" s="5" t="s">
        <v>16</v>
      </c>
      <c r="K241" s="5"/>
    </row>
    <row r="242" spans="1:11" x14ac:dyDescent="0.3">
      <c r="A242" s="2">
        <v>45738</v>
      </c>
      <c r="B242" s="3" t="s">
        <v>53</v>
      </c>
      <c r="C242" s="3" t="s">
        <v>19</v>
      </c>
      <c r="D242" s="3" t="s">
        <v>52</v>
      </c>
      <c r="E242" s="3" t="s">
        <v>27</v>
      </c>
      <c r="F242" s="3">
        <v>89</v>
      </c>
      <c r="G242" s="48">
        <v>46.67</v>
      </c>
      <c r="H242" s="48">
        <v>4153.63</v>
      </c>
      <c r="I242" s="3" t="s">
        <v>23</v>
      </c>
      <c r="J242" s="3" t="s">
        <v>16</v>
      </c>
      <c r="K242" s="3"/>
    </row>
    <row r="243" spans="1:11" x14ac:dyDescent="0.3">
      <c r="A243" s="4">
        <v>45738</v>
      </c>
      <c r="B243" s="5" t="s">
        <v>53</v>
      </c>
      <c r="C243" s="5" t="s">
        <v>45</v>
      </c>
      <c r="D243" s="5" t="s">
        <v>59</v>
      </c>
      <c r="E243" s="5" t="s">
        <v>50</v>
      </c>
      <c r="F243" s="5">
        <v>186</v>
      </c>
      <c r="G243" s="49">
        <v>28.64</v>
      </c>
      <c r="H243" s="49">
        <v>5327.04</v>
      </c>
      <c r="I243" s="5" t="s">
        <v>41</v>
      </c>
      <c r="J243" s="5" t="s">
        <v>47</v>
      </c>
      <c r="K243" s="5"/>
    </row>
    <row r="244" spans="1:11" x14ac:dyDescent="0.3">
      <c r="A244" s="2">
        <v>45738</v>
      </c>
      <c r="B244" s="3" t="s">
        <v>18</v>
      </c>
      <c r="C244" s="3" t="s">
        <v>30</v>
      </c>
      <c r="D244" s="3" t="s">
        <v>21</v>
      </c>
      <c r="E244" s="3" t="s">
        <v>22</v>
      </c>
      <c r="F244" s="3">
        <v>66</v>
      </c>
      <c r="G244" s="48">
        <v>9.23</v>
      </c>
      <c r="H244" s="48">
        <v>609.17999999999995</v>
      </c>
      <c r="I244" s="3" t="s">
        <v>28</v>
      </c>
      <c r="J244" s="3" t="s">
        <v>29</v>
      </c>
      <c r="K244" s="3"/>
    </row>
    <row r="245" spans="1:11" x14ac:dyDescent="0.3">
      <c r="A245" s="4">
        <v>45739</v>
      </c>
      <c r="B245" s="5" t="s">
        <v>36</v>
      </c>
      <c r="C245" s="5" t="s">
        <v>12</v>
      </c>
      <c r="D245" s="5" t="s">
        <v>43</v>
      </c>
      <c r="E245" s="5" t="s">
        <v>44</v>
      </c>
      <c r="F245" s="5">
        <v>104</v>
      </c>
      <c r="G245" s="49">
        <v>121.81</v>
      </c>
      <c r="H245" s="49">
        <v>12668.24</v>
      </c>
      <c r="I245" s="5" t="s">
        <v>28</v>
      </c>
      <c r="J245" s="5" t="s">
        <v>29</v>
      </c>
      <c r="K245" s="5" t="s">
        <v>24</v>
      </c>
    </row>
    <row r="246" spans="1:11" x14ac:dyDescent="0.3">
      <c r="A246" s="2">
        <v>45739</v>
      </c>
      <c r="B246" s="3" t="s">
        <v>20</v>
      </c>
      <c r="C246" s="3" t="s">
        <v>38</v>
      </c>
      <c r="D246" s="3" t="s">
        <v>52</v>
      </c>
      <c r="E246" s="3" t="s">
        <v>27</v>
      </c>
      <c r="F246" s="3">
        <v>27</v>
      </c>
      <c r="G246" s="48">
        <v>45.38</v>
      </c>
      <c r="H246" s="48">
        <v>1225.26</v>
      </c>
      <c r="I246" s="3" t="s">
        <v>41</v>
      </c>
      <c r="J246" s="3" t="s">
        <v>16</v>
      </c>
      <c r="K246" s="3" t="s">
        <v>42</v>
      </c>
    </row>
    <row r="247" spans="1:11" x14ac:dyDescent="0.3">
      <c r="A247" s="4">
        <v>45740</v>
      </c>
      <c r="B247" s="5" t="s">
        <v>75</v>
      </c>
      <c r="C247" s="5" t="s">
        <v>38</v>
      </c>
      <c r="D247" s="5" t="s">
        <v>48</v>
      </c>
      <c r="E247" s="5" t="s">
        <v>14</v>
      </c>
      <c r="F247" s="5">
        <v>115</v>
      </c>
      <c r="G247" s="49">
        <v>82.12</v>
      </c>
      <c r="H247" s="49">
        <v>9443.7999999999993</v>
      </c>
      <c r="I247" s="5" t="s">
        <v>41</v>
      </c>
      <c r="J247" s="5" t="s">
        <v>47</v>
      </c>
      <c r="K247" s="5" t="s">
        <v>24</v>
      </c>
    </row>
    <row r="248" spans="1:11" x14ac:dyDescent="0.3">
      <c r="A248" s="2">
        <v>45740</v>
      </c>
      <c r="B248" s="3" t="s">
        <v>20</v>
      </c>
      <c r="C248" s="3" t="s">
        <v>12</v>
      </c>
      <c r="D248" s="3" t="s">
        <v>48</v>
      </c>
      <c r="E248" s="3" t="s">
        <v>14</v>
      </c>
      <c r="F248" s="3">
        <v>55</v>
      </c>
      <c r="G248" s="48">
        <v>91.37</v>
      </c>
      <c r="H248" s="48">
        <v>5025.3500000000004</v>
      </c>
      <c r="I248" s="3" t="s">
        <v>28</v>
      </c>
      <c r="J248" s="3" t="s">
        <v>29</v>
      </c>
      <c r="K248" s="3" t="s">
        <v>42</v>
      </c>
    </row>
    <row r="249" spans="1:11" x14ac:dyDescent="0.3">
      <c r="A249" s="4">
        <v>45741</v>
      </c>
      <c r="B249" s="5" t="s">
        <v>56</v>
      </c>
      <c r="C249" s="5" t="s">
        <v>30</v>
      </c>
      <c r="D249" s="5" t="s">
        <v>39</v>
      </c>
      <c r="E249" s="5" t="s">
        <v>40</v>
      </c>
      <c r="F249" s="5">
        <v>127</v>
      </c>
      <c r="G249" s="49">
        <v>56.74</v>
      </c>
      <c r="H249" s="49">
        <v>7205.98</v>
      </c>
      <c r="I249" s="5" t="s">
        <v>28</v>
      </c>
      <c r="J249" s="5" t="s">
        <v>29</v>
      </c>
      <c r="K249" s="5"/>
    </row>
    <row r="250" spans="1:11" x14ac:dyDescent="0.3">
      <c r="A250" s="2">
        <v>45741</v>
      </c>
      <c r="B250" s="3" t="s">
        <v>56</v>
      </c>
      <c r="C250" s="3" t="s">
        <v>45</v>
      </c>
      <c r="D250" s="3" t="s">
        <v>58</v>
      </c>
      <c r="E250" s="3" t="s">
        <v>22</v>
      </c>
      <c r="F250" s="3">
        <v>59</v>
      </c>
      <c r="G250" s="48">
        <v>23.89</v>
      </c>
      <c r="H250" s="48">
        <v>1409.51</v>
      </c>
      <c r="I250" s="3" t="s">
        <v>23</v>
      </c>
      <c r="J250" s="3" t="s">
        <v>16</v>
      </c>
      <c r="K250" s="3"/>
    </row>
    <row r="251" spans="1:11" x14ac:dyDescent="0.3">
      <c r="A251" s="4">
        <v>45742</v>
      </c>
      <c r="B251" s="5" t="s">
        <v>18</v>
      </c>
      <c r="C251" s="5" t="s">
        <v>45</v>
      </c>
      <c r="D251" s="5" t="s">
        <v>35</v>
      </c>
      <c r="E251" s="5" t="s">
        <v>32</v>
      </c>
      <c r="F251" s="5">
        <v>188</v>
      </c>
      <c r="G251" s="49">
        <v>13.01</v>
      </c>
      <c r="H251" s="49">
        <v>2445.88</v>
      </c>
      <c r="I251" s="5" t="s">
        <v>28</v>
      </c>
      <c r="J251" s="5" t="s">
        <v>47</v>
      </c>
      <c r="K251" s="5" t="s">
        <v>24</v>
      </c>
    </row>
    <row r="252" spans="1:11" x14ac:dyDescent="0.3">
      <c r="A252" s="2">
        <v>45743</v>
      </c>
      <c r="B252" s="3" t="s">
        <v>20</v>
      </c>
      <c r="C252" s="3" t="s">
        <v>38</v>
      </c>
      <c r="D252" s="3" t="s">
        <v>59</v>
      </c>
      <c r="E252" s="3" t="s">
        <v>50</v>
      </c>
      <c r="F252" s="3">
        <v>154</v>
      </c>
      <c r="G252" s="48">
        <v>31.58</v>
      </c>
      <c r="H252" s="48">
        <v>4863.32</v>
      </c>
      <c r="I252" s="3" t="s">
        <v>41</v>
      </c>
      <c r="J252" s="3" t="s">
        <v>16</v>
      </c>
      <c r="K252" s="3"/>
    </row>
    <row r="253" spans="1:11" x14ac:dyDescent="0.3">
      <c r="A253" s="4">
        <v>45743</v>
      </c>
      <c r="B253" s="5" t="s">
        <v>36</v>
      </c>
      <c r="C253" s="5" t="s">
        <v>45</v>
      </c>
      <c r="D253" s="5" t="s">
        <v>59</v>
      </c>
      <c r="E253" s="5" t="s">
        <v>50</v>
      </c>
      <c r="F253" s="5">
        <v>173</v>
      </c>
      <c r="G253" s="49">
        <v>30.67</v>
      </c>
      <c r="H253" s="49">
        <v>5305.91</v>
      </c>
      <c r="I253" s="5" t="s">
        <v>15</v>
      </c>
      <c r="J253" s="5" t="s">
        <v>16</v>
      </c>
      <c r="K253" s="5" t="s">
        <v>42</v>
      </c>
    </row>
    <row r="254" spans="1:11" x14ac:dyDescent="0.3">
      <c r="A254" s="2">
        <v>45745</v>
      </c>
      <c r="B254" s="3" t="s">
        <v>53</v>
      </c>
      <c r="C254" s="3" t="s">
        <v>38</v>
      </c>
      <c r="D254" s="3" t="s">
        <v>39</v>
      </c>
      <c r="E254" s="3" t="s">
        <v>40</v>
      </c>
      <c r="F254" s="3">
        <v>72</v>
      </c>
      <c r="G254" s="48">
        <v>55.46</v>
      </c>
      <c r="H254" s="48">
        <v>3993.12</v>
      </c>
      <c r="I254" s="3" t="s">
        <v>37</v>
      </c>
      <c r="J254" s="3" t="s">
        <v>29</v>
      </c>
      <c r="K254" s="3"/>
    </row>
    <row r="255" spans="1:11" x14ac:dyDescent="0.3">
      <c r="A255" s="4">
        <v>45746</v>
      </c>
      <c r="B255" s="5" t="s">
        <v>18</v>
      </c>
      <c r="C255" s="5" t="s">
        <v>45</v>
      </c>
      <c r="D255" s="5" t="s">
        <v>48</v>
      </c>
      <c r="E255" s="5" t="s">
        <v>14</v>
      </c>
      <c r="F255" s="5">
        <v>188</v>
      </c>
      <c r="G255" s="49">
        <v>80.23</v>
      </c>
      <c r="H255" s="49">
        <v>15083.24</v>
      </c>
      <c r="I255" s="5" t="s">
        <v>28</v>
      </c>
      <c r="J255" s="5" t="s">
        <v>29</v>
      </c>
      <c r="K255" s="5"/>
    </row>
    <row r="256" spans="1:11" x14ac:dyDescent="0.3">
      <c r="A256" s="2">
        <v>45746</v>
      </c>
      <c r="B256" s="3" t="s">
        <v>56</v>
      </c>
      <c r="C256" s="3" t="s">
        <v>30</v>
      </c>
      <c r="D256" s="3" t="s">
        <v>13</v>
      </c>
      <c r="E256" s="3" t="s">
        <v>14</v>
      </c>
      <c r="F256" s="3">
        <v>69</v>
      </c>
      <c r="G256" s="48">
        <v>43.85</v>
      </c>
      <c r="H256" s="48">
        <v>3025.65</v>
      </c>
      <c r="I256" s="3" t="s">
        <v>28</v>
      </c>
      <c r="J256" s="3" t="s">
        <v>29</v>
      </c>
      <c r="K256" s="3" t="s">
        <v>24</v>
      </c>
    </row>
    <row r="257" spans="1:11" x14ac:dyDescent="0.3">
      <c r="A257" s="4">
        <v>45746</v>
      </c>
      <c r="B257" s="5" t="s">
        <v>11</v>
      </c>
      <c r="C257" s="5" t="s">
        <v>45</v>
      </c>
      <c r="D257" s="5" t="s">
        <v>35</v>
      </c>
      <c r="E257" s="5" t="s">
        <v>32</v>
      </c>
      <c r="F257" s="5">
        <v>32</v>
      </c>
      <c r="G257" s="49">
        <v>13.7</v>
      </c>
      <c r="H257" s="49">
        <v>438.4</v>
      </c>
      <c r="I257" s="5" t="s">
        <v>41</v>
      </c>
      <c r="J257" s="5" t="s">
        <v>16</v>
      </c>
      <c r="K257" s="5"/>
    </row>
    <row r="258" spans="1:11" x14ac:dyDescent="0.3">
      <c r="A258" s="2">
        <v>45746</v>
      </c>
      <c r="B258" s="3" t="s">
        <v>36</v>
      </c>
      <c r="C258" s="3" t="s">
        <v>19</v>
      </c>
      <c r="D258" s="3" t="s">
        <v>58</v>
      </c>
      <c r="E258" s="3" t="s">
        <v>22</v>
      </c>
      <c r="F258" s="3">
        <v>87</v>
      </c>
      <c r="G258" s="48">
        <v>26.91</v>
      </c>
      <c r="H258" s="48">
        <v>2341.17</v>
      </c>
      <c r="I258" s="3" t="s">
        <v>23</v>
      </c>
      <c r="J258" s="3" t="s">
        <v>16</v>
      </c>
      <c r="K258" s="3"/>
    </row>
    <row r="259" spans="1:11" x14ac:dyDescent="0.3">
      <c r="A259" s="4">
        <v>45747</v>
      </c>
      <c r="B259" s="5" t="s">
        <v>36</v>
      </c>
      <c r="C259" s="5" t="s">
        <v>19</v>
      </c>
      <c r="D259" s="5" t="s">
        <v>35</v>
      </c>
      <c r="E259" s="5" t="s">
        <v>32</v>
      </c>
      <c r="F259" s="5">
        <v>165</v>
      </c>
      <c r="G259" s="49">
        <v>13.9</v>
      </c>
      <c r="H259" s="49">
        <v>2293.5</v>
      </c>
      <c r="I259" s="5" t="s">
        <v>23</v>
      </c>
      <c r="J259" s="5" t="s">
        <v>61</v>
      </c>
      <c r="K259" s="5"/>
    </row>
    <row r="260" spans="1:11" x14ac:dyDescent="0.3">
      <c r="A260" s="2">
        <v>45747</v>
      </c>
      <c r="B260" s="3" t="s">
        <v>18</v>
      </c>
      <c r="C260" s="3" t="s">
        <v>30</v>
      </c>
      <c r="D260" s="3" t="s">
        <v>52</v>
      </c>
      <c r="E260" s="3" t="s">
        <v>27</v>
      </c>
      <c r="F260" s="3">
        <v>70</v>
      </c>
      <c r="G260" s="48">
        <v>51.74</v>
      </c>
      <c r="H260" s="48">
        <v>3621.8</v>
      </c>
      <c r="I260" s="3" t="s">
        <v>41</v>
      </c>
      <c r="J260" s="3" t="s">
        <v>47</v>
      </c>
      <c r="K260" s="3"/>
    </row>
    <row r="261" spans="1:11" x14ac:dyDescent="0.3">
      <c r="A261" s="4">
        <v>45747</v>
      </c>
      <c r="B261" s="5" t="s">
        <v>71</v>
      </c>
      <c r="C261" s="5" t="s">
        <v>38</v>
      </c>
      <c r="D261" s="5" t="s">
        <v>49</v>
      </c>
      <c r="E261" s="5" t="s">
        <v>50</v>
      </c>
      <c r="F261" s="5">
        <v>138</v>
      </c>
      <c r="G261" s="49">
        <v>20.36</v>
      </c>
      <c r="H261" s="49">
        <v>2809.68</v>
      </c>
      <c r="I261" s="5" t="s">
        <v>37</v>
      </c>
      <c r="J261" s="5" t="s">
        <v>47</v>
      </c>
      <c r="K261" s="5"/>
    </row>
    <row r="262" spans="1:11" x14ac:dyDescent="0.3">
      <c r="A262" s="2">
        <v>45748</v>
      </c>
      <c r="B262" s="3" t="s">
        <v>18</v>
      </c>
      <c r="C262" s="3" t="s">
        <v>30</v>
      </c>
      <c r="D262" s="3" t="s">
        <v>31</v>
      </c>
      <c r="E262" s="3" t="s">
        <v>32</v>
      </c>
      <c r="F262" s="3">
        <v>163</v>
      </c>
      <c r="G262" s="48">
        <v>11.24</v>
      </c>
      <c r="H262" s="48">
        <v>1832.12</v>
      </c>
      <c r="I262" s="3" t="s">
        <v>41</v>
      </c>
      <c r="J262" s="3" t="s">
        <v>29</v>
      </c>
      <c r="K262" s="3" t="s">
        <v>46</v>
      </c>
    </row>
    <row r="263" spans="1:11" x14ac:dyDescent="0.3">
      <c r="A263" s="4">
        <v>45748</v>
      </c>
      <c r="B263" s="5" t="s">
        <v>18</v>
      </c>
      <c r="C263" s="5" t="s">
        <v>19</v>
      </c>
      <c r="D263" s="5" t="s">
        <v>58</v>
      </c>
      <c r="E263" s="5" t="s">
        <v>22</v>
      </c>
      <c r="F263" s="5">
        <v>24</v>
      </c>
      <c r="G263" s="49">
        <v>25.55</v>
      </c>
      <c r="H263" s="49">
        <v>613.20000000000005</v>
      </c>
      <c r="I263" s="5" t="s">
        <v>15</v>
      </c>
      <c r="J263" s="5" t="s">
        <v>16</v>
      </c>
      <c r="K263" s="5" t="s">
        <v>17</v>
      </c>
    </row>
    <row r="264" spans="1:11" x14ac:dyDescent="0.3">
      <c r="A264" s="2">
        <v>45748</v>
      </c>
      <c r="B264" s="3" t="s">
        <v>11</v>
      </c>
      <c r="C264" s="3" t="s">
        <v>45</v>
      </c>
      <c r="D264" s="3" t="s">
        <v>43</v>
      </c>
      <c r="E264" s="3" t="s">
        <v>44</v>
      </c>
      <c r="F264" s="3">
        <v>182</v>
      </c>
      <c r="G264" s="48">
        <v>125.79</v>
      </c>
      <c r="H264" s="48">
        <v>22893.78</v>
      </c>
      <c r="I264" s="3" t="s">
        <v>37</v>
      </c>
      <c r="J264" s="3" t="s">
        <v>16</v>
      </c>
      <c r="K264" s="3"/>
    </row>
    <row r="265" spans="1:11" x14ac:dyDescent="0.3">
      <c r="A265" s="4">
        <v>45748</v>
      </c>
      <c r="B265" s="5" t="s">
        <v>56</v>
      </c>
      <c r="C265" s="5" t="s">
        <v>19</v>
      </c>
      <c r="D265" s="5" t="s">
        <v>35</v>
      </c>
      <c r="E265" s="5" t="s">
        <v>32</v>
      </c>
      <c r="F265" s="5">
        <v>83</v>
      </c>
      <c r="G265" s="49">
        <v>14.39</v>
      </c>
      <c r="H265" s="49">
        <v>1194.3699999999999</v>
      </c>
      <c r="I265" s="5" t="s">
        <v>37</v>
      </c>
      <c r="J265" s="5" t="s">
        <v>61</v>
      </c>
      <c r="K265" s="5" t="s">
        <v>24</v>
      </c>
    </row>
    <row r="266" spans="1:11" x14ac:dyDescent="0.3">
      <c r="A266" s="2">
        <v>45748</v>
      </c>
      <c r="B266" s="3" t="s">
        <v>18</v>
      </c>
      <c r="C266" s="3" t="s">
        <v>12</v>
      </c>
      <c r="D266" s="3" t="s">
        <v>35</v>
      </c>
      <c r="E266" s="3" t="s">
        <v>32</v>
      </c>
      <c r="F266" s="3">
        <v>141</v>
      </c>
      <c r="G266" s="48">
        <v>13.13</v>
      </c>
      <c r="H266" s="48">
        <v>1851.33</v>
      </c>
      <c r="I266" s="3" t="s">
        <v>41</v>
      </c>
      <c r="J266" s="3" t="s">
        <v>16</v>
      </c>
      <c r="K266" s="3" t="s">
        <v>42</v>
      </c>
    </row>
    <row r="267" spans="1:11" x14ac:dyDescent="0.3">
      <c r="A267" s="4">
        <v>45749</v>
      </c>
      <c r="B267" s="5" t="s">
        <v>53</v>
      </c>
      <c r="C267" s="5" t="s">
        <v>19</v>
      </c>
      <c r="D267" s="5" t="s">
        <v>35</v>
      </c>
      <c r="E267" s="5" t="s">
        <v>32</v>
      </c>
      <c r="F267" s="5">
        <v>197</v>
      </c>
      <c r="G267" s="49">
        <v>13.11</v>
      </c>
      <c r="H267" s="49">
        <v>2582.67</v>
      </c>
      <c r="I267" s="5" t="s">
        <v>28</v>
      </c>
      <c r="J267" s="5" t="s">
        <v>16</v>
      </c>
      <c r="K267" s="5"/>
    </row>
    <row r="268" spans="1:11" x14ac:dyDescent="0.3">
      <c r="A268" s="2">
        <v>45749</v>
      </c>
      <c r="B268" s="3" t="s">
        <v>11</v>
      </c>
      <c r="C268" s="3" t="s">
        <v>45</v>
      </c>
      <c r="D268" s="3" t="s">
        <v>31</v>
      </c>
      <c r="E268" s="3" t="s">
        <v>32</v>
      </c>
      <c r="F268" s="3">
        <v>197</v>
      </c>
      <c r="G268" s="48">
        <v>12.6</v>
      </c>
      <c r="H268" s="48">
        <v>2482.1999999999998</v>
      </c>
      <c r="I268" s="3" t="s">
        <v>28</v>
      </c>
      <c r="J268" s="3" t="s">
        <v>29</v>
      </c>
      <c r="K268" s="3" t="s">
        <v>17</v>
      </c>
    </row>
    <row r="269" spans="1:11" x14ac:dyDescent="0.3">
      <c r="A269" s="4">
        <v>45749</v>
      </c>
      <c r="B269" s="5" t="s">
        <v>53</v>
      </c>
      <c r="C269" s="5" t="s">
        <v>19</v>
      </c>
      <c r="D269" s="5" t="s">
        <v>59</v>
      </c>
      <c r="E269" s="5" t="s">
        <v>50</v>
      </c>
      <c r="F269" s="5">
        <v>185</v>
      </c>
      <c r="G269" s="49">
        <v>28.02</v>
      </c>
      <c r="H269" s="49">
        <v>5183.7</v>
      </c>
      <c r="I269" s="5" t="s">
        <v>23</v>
      </c>
      <c r="J269" s="5" t="s">
        <v>29</v>
      </c>
      <c r="K269" s="5"/>
    </row>
    <row r="270" spans="1:11" x14ac:dyDescent="0.3">
      <c r="A270" s="2">
        <v>45749</v>
      </c>
      <c r="B270" s="3" t="s">
        <v>11</v>
      </c>
      <c r="C270" s="3" t="s">
        <v>12</v>
      </c>
      <c r="D270" s="3" t="s">
        <v>54</v>
      </c>
      <c r="E270" s="3" t="s">
        <v>44</v>
      </c>
      <c r="F270" s="3">
        <v>52</v>
      </c>
      <c r="G270" s="48">
        <v>110.88</v>
      </c>
      <c r="H270" s="48">
        <v>5765.76</v>
      </c>
      <c r="I270" s="3" t="s">
        <v>41</v>
      </c>
      <c r="J270" s="3" t="s">
        <v>47</v>
      </c>
      <c r="K270" s="3" t="s">
        <v>42</v>
      </c>
    </row>
    <row r="271" spans="1:11" x14ac:dyDescent="0.3">
      <c r="A271" s="4">
        <v>45749</v>
      </c>
      <c r="B271" s="5" t="s">
        <v>11</v>
      </c>
      <c r="C271" s="5" t="s">
        <v>45</v>
      </c>
      <c r="D271" s="5" t="s">
        <v>13</v>
      </c>
      <c r="E271" s="5" t="s">
        <v>14</v>
      </c>
      <c r="F271" s="5">
        <v>134</v>
      </c>
      <c r="G271" s="49">
        <v>42.46</v>
      </c>
      <c r="H271" s="49">
        <v>5689.64</v>
      </c>
      <c r="I271" s="5" t="s">
        <v>15</v>
      </c>
      <c r="J271" s="5" t="s">
        <v>29</v>
      </c>
      <c r="K271" s="5"/>
    </row>
    <row r="272" spans="1:11" x14ac:dyDescent="0.3">
      <c r="A272" s="2">
        <v>45750</v>
      </c>
      <c r="B272" s="3" t="s">
        <v>20</v>
      </c>
      <c r="C272" s="3" t="s">
        <v>19</v>
      </c>
      <c r="D272" s="3" t="s">
        <v>48</v>
      </c>
      <c r="E272" s="3" t="s">
        <v>14</v>
      </c>
      <c r="F272" s="3">
        <v>128</v>
      </c>
      <c r="G272" s="48">
        <v>86.84</v>
      </c>
      <c r="H272" s="48">
        <v>11115.52</v>
      </c>
      <c r="I272" s="3" t="s">
        <v>23</v>
      </c>
      <c r="J272" s="3" t="s">
        <v>67</v>
      </c>
      <c r="K272" s="3" t="s">
        <v>17</v>
      </c>
    </row>
    <row r="273" spans="1:11" x14ac:dyDescent="0.3">
      <c r="A273" s="4">
        <v>45750</v>
      </c>
      <c r="B273" s="5" t="s">
        <v>34</v>
      </c>
      <c r="C273" s="5" t="s">
        <v>38</v>
      </c>
      <c r="D273" s="5" t="s">
        <v>59</v>
      </c>
      <c r="E273" s="5" t="s">
        <v>50</v>
      </c>
      <c r="F273" s="5">
        <v>168</v>
      </c>
      <c r="G273" s="49">
        <v>32.380000000000003</v>
      </c>
      <c r="H273" s="49">
        <v>5439.84</v>
      </c>
      <c r="I273" s="5" t="s">
        <v>23</v>
      </c>
      <c r="J273" s="5" t="s">
        <v>16</v>
      </c>
      <c r="K273" s="5"/>
    </row>
    <row r="274" spans="1:11" x14ac:dyDescent="0.3">
      <c r="A274" s="2">
        <v>45750</v>
      </c>
      <c r="B274" s="3" t="s">
        <v>18</v>
      </c>
      <c r="C274" s="3" t="s">
        <v>19</v>
      </c>
      <c r="D274" s="3" t="s">
        <v>59</v>
      </c>
      <c r="E274" s="3" t="s">
        <v>50</v>
      </c>
      <c r="F274" s="3">
        <v>191</v>
      </c>
      <c r="G274" s="48">
        <v>30.56</v>
      </c>
      <c r="H274" s="48">
        <v>5836.96</v>
      </c>
      <c r="I274" s="3" t="s">
        <v>15</v>
      </c>
      <c r="J274" s="3" t="s">
        <v>16</v>
      </c>
      <c r="K274" s="3" t="s">
        <v>46</v>
      </c>
    </row>
    <row r="275" spans="1:11" x14ac:dyDescent="0.3">
      <c r="A275" s="4">
        <v>45750</v>
      </c>
      <c r="B275" s="5" t="s">
        <v>56</v>
      </c>
      <c r="C275" s="5" t="s">
        <v>30</v>
      </c>
      <c r="D275" s="5" t="s">
        <v>59</v>
      </c>
      <c r="E275" s="5" t="s">
        <v>50</v>
      </c>
      <c r="F275" s="5">
        <v>86</v>
      </c>
      <c r="G275" s="49">
        <v>31.91</v>
      </c>
      <c r="H275" s="49">
        <v>2744.26</v>
      </c>
      <c r="I275" s="5" t="s">
        <v>41</v>
      </c>
      <c r="J275" s="5" t="s">
        <v>47</v>
      </c>
      <c r="K275" s="5"/>
    </row>
    <row r="276" spans="1:11" x14ac:dyDescent="0.3">
      <c r="A276" s="2">
        <v>45751</v>
      </c>
      <c r="B276" s="3" t="s">
        <v>62</v>
      </c>
      <c r="C276" s="3" t="s">
        <v>12</v>
      </c>
      <c r="D276" s="3" t="s">
        <v>58</v>
      </c>
      <c r="E276" s="3" t="s">
        <v>22</v>
      </c>
      <c r="F276" s="3">
        <v>75</v>
      </c>
      <c r="G276" s="48">
        <v>25.49</v>
      </c>
      <c r="H276" s="48">
        <v>1911.75</v>
      </c>
      <c r="I276" s="3" t="s">
        <v>28</v>
      </c>
      <c r="J276" s="3" t="s">
        <v>55</v>
      </c>
      <c r="K276" s="3"/>
    </row>
    <row r="277" spans="1:11" x14ac:dyDescent="0.3">
      <c r="A277" s="4">
        <v>45752</v>
      </c>
      <c r="B277" s="5" t="s">
        <v>11</v>
      </c>
      <c r="C277" s="5" t="s">
        <v>12</v>
      </c>
      <c r="D277" s="5" t="s">
        <v>59</v>
      </c>
      <c r="E277" s="5" t="s">
        <v>50</v>
      </c>
      <c r="F277" s="5">
        <v>82</v>
      </c>
      <c r="G277" s="49">
        <v>30.01</v>
      </c>
      <c r="H277" s="49">
        <v>2460.8200000000002</v>
      </c>
      <c r="I277" s="5" t="s">
        <v>15</v>
      </c>
      <c r="J277" s="5" t="s">
        <v>16</v>
      </c>
      <c r="K277" s="5" t="s">
        <v>24</v>
      </c>
    </row>
    <row r="278" spans="1:11" x14ac:dyDescent="0.3">
      <c r="A278" s="2">
        <v>45752</v>
      </c>
      <c r="B278" s="3" t="s">
        <v>76</v>
      </c>
      <c r="C278" s="3" t="s">
        <v>30</v>
      </c>
      <c r="D278" s="3" t="s">
        <v>58</v>
      </c>
      <c r="E278" s="3" t="s">
        <v>22</v>
      </c>
      <c r="F278" s="3">
        <v>62</v>
      </c>
      <c r="G278" s="48">
        <v>26.17</v>
      </c>
      <c r="H278" s="48">
        <v>1622.54</v>
      </c>
      <c r="I278" s="3" t="s">
        <v>23</v>
      </c>
      <c r="J278" s="3" t="s">
        <v>16</v>
      </c>
      <c r="K278" s="3"/>
    </row>
    <row r="279" spans="1:11" x14ac:dyDescent="0.3">
      <c r="A279" s="4">
        <v>45752</v>
      </c>
      <c r="B279" s="5" t="s">
        <v>25</v>
      </c>
      <c r="C279" s="5" t="s">
        <v>38</v>
      </c>
      <c r="D279" s="5" t="s">
        <v>52</v>
      </c>
      <c r="E279" s="5" t="s">
        <v>27</v>
      </c>
      <c r="F279" s="5"/>
      <c r="G279" s="49">
        <v>46.59</v>
      </c>
      <c r="H279" s="49"/>
      <c r="I279" s="5" t="s">
        <v>15</v>
      </c>
      <c r="J279" s="5" t="s">
        <v>47</v>
      </c>
      <c r="K279" s="5"/>
    </row>
    <row r="280" spans="1:11" x14ac:dyDescent="0.3">
      <c r="A280" s="2">
        <v>45753</v>
      </c>
      <c r="B280" s="3" t="s">
        <v>25</v>
      </c>
      <c r="C280" s="3" t="s">
        <v>45</v>
      </c>
      <c r="D280" s="3" t="s">
        <v>13</v>
      </c>
      <c r="E280" s="3" t="s">
        <v>14</v>
      </c>
      <c r="F280" s="3">
        <v>117</v>
      </c>
      <c r="G280" s="48">
        <v>45.54</v>
      </c>
      <c r="H280" s="48">
        <v>5328.18</v>
      </c>
      <c r="I280" s="3" t="s">
        <v>23</v>
      </c>
      <c r="J280" s="3" t="s">
        <v>47</v>
      </c>
      <c r="K280" s="3"/>
    </row>
    <row r="281" spans="1:11" x14ac:dyDescent="0.3">
      <c r="A281" s="4">
        <v>45753</v>
      </c>
      <c r="B281" s="5" t="s">
        <v>56</v>
      </c>
      <c r="C281" s="5" t="s">
        <v>19</v>
      </c>
      <c r="D281" s="5" t="s">
        <v>49</v>
      </c>
      <c r="E281" s="5" t="s">
        <v>50</v>
      </c>
      <c r="F281" s="5">
        <v>87</v>
      </c>
      <c r="G281" s="49">
        <v>21.1</v>
      </c>
      <c r="H281" s="49">
        <v>1835.7</v>
      </c>
      <c r="I281" s="5" t="s">
        <v>41</v>
      </c>
      <c r="J281" s="5" t="s">
        <v>16</v>
      </c>
      <c r="K281" s="5" t="s">
        <v>17</v>
      </c>
    </row>
    <row r="282" spans="1:11" x14ac:dyDescent="0.3">
      <c r="A282" s="2">
        <v>45753</v>
      </c>
      <c r="B282" s="3" t="s">
        <v>20</v>
      </c>
      <c r="C282" s="3" t="s">
        <v>12</v>
      </c>
      <c r="D282" s="3" t="s">
        <v>52</v>
      </c>
      <c r="E282" s="3" t="s">
        <v>27</v>
      </c>
      <c r="F282" s="3">
        <v>121</v>
      </c>
      <c r="G282" s="48">
        <v>45.41</v>
      </c>
      <c r="H282" s="48">
        <v>5494.61</v>
      </c>
      <c r="I282" s="3" t="s">
        <v>23</v>
      </c>
      <c r="J282" s="3" t="s">
        <v>29</v>
      </c>
      <c r="K282" s="3"/>
    </row>
    <row r="283" spans="1:11" x14ac:dyDescent="0.3">
      <c r="A283" s="4">
        <v>45754</v>
      </c>
      <c r="B283" s="5" t="s">
        <v>53</v>
      </c>
      <c r="C283" s="5" t="s">
        <v>45</v>
      </c>
      <c r="D283" s="5" t="s">
        <v>43</v>
      </c>
      <c r="E283" s="5" t="s">
        <v>44</v>
      </c>
      <c r="F283" s="5">
        <v>177</v>
      </c>
      <c r="G283" s="49">
        <v>122.07</v>
      </c>
      <c r="H283" s="49">
        <v>21606.39</v>
      </c>
      <c r="I283" s="5" t="s">
        <v>15</v>
      </c>
      <c r="J283" s="5" t="s">
        <v>16</v>
      </c>
      <c r="K283" s="5"/>
    </row>
    <row r="284" spans="1:11" x14ac:dyDescent="0.3">
      <c r="A284" s="2">
        <v>45754</v>
      </c>
      <c r="B284" s="3" t="s">
        <v>25</v>
      </c>
      <c r="C284" s="3" t="s">
        <v>45</v>
      </c>
      <c r="D284" s="3" t="s">
        <v>21</v>
      </c>
      <c r="E284" s="3" t="s">
        <v>22</v>
      </c>
      <c r="F284" s="3">
        <v>109</v>
      </c>
      <c r="G284" s="48">
        <v>9.39</v>
      </c>
      <c r="H284" s="48">
        <v>1023.51</v>
      </c>
      <c r="I284" s="3" t="s">
        <v>28</v>
      </c>
      <c r="J284" s="3" t="s">
        <v>16</v>
      </c>
      <c r="K284" s="3"/>
    </row>
    <row r="285" spans="1:11" x14ac:dyDescent="0.3">
      <c r="A285" s="4">
        <v>45755</v>
      </c>
      <c r="B285" s="5" t="s">
        <v>11</v>
      </c>
      <c r="C285" s="5" t="s">
        <v>30</v>
      </c>
      <c r="D285" s="5" t="s">
        <v>48</v>
      </c>
      <c r="E285" s="5" t="s">
        <v>14</v>
      </c>
      <c r="F285" s="5">
        <v>86</v>
      </c>
      <c r="G285" s="49">
        <v>89.81</v>
      </c>
      <c r="H285" s="49">
        <v>7723.66</v>
      </c>
      <c r="I285" s="5" t="s">
        <v>37</v>
      </c>
      <c r="J285" s="5" t="s">
        <v>47</v>
      </c>
      <c r="K285" s="5" t="s">
        <v>17</v>
      </c>
    </row>
    <row r="286" spans="1:11" x14ac:dyDescent="0.3">
      <c r="A286" s="2">
        <v>45755</v>
      </c>
      <c r="B286" s="3" t="s">
        <v>11</v>
      </c>
      <c r="C286" s="3" t="s">
        <v>12</v>
      </c>
      <c r="D286" s="3" t="s">
        <v>31</v>
      </c>
      <c r="E286" s="3" t="s">
        <v>32</v>
      </c>
      <c r="F286" s="3">
        <v>160</v>
      </c>
      <c r="G286" s="48">
        <v>11.63</v>
      </c>
      <c r="H286" s="48">
        <v>1860.8</v>
      </c>
      <c r="I286" s="3" t="s">
        <v>41</v>
      </c>
      <c r="J286" s="3" t="s">
        <v>16</v>
      </c>
      <c r="K286" s="3"/>
    </row>
    <row r="287" spans="1:11" x14ac:dyDescent="0.3">
      <c r="A287" s="4">
        <v>45755</v>
      </c>
      <c r="B287" s="5" t="s">
        <v>11</v>
      </c>
      <c r="C287" s="5" t="s">
        <v>45</v>
      </c>
      <c r="D287" s="5" t="s">
        <v>58</v>
      </c>
      <c r="E287" s="5" t="s">
        <v>22</v>
      </c>
      <c r="F287" s="5">
        <v>101</v>
      </c>
      <c r="G287" s="49">
        <v>24.44</v>
      </c>
      <c r="H287" s="49">
        <v>2468.44</v>
      </c>
      <c r="I287" s="5" t="s">
        <v>41</v>
      </c>
      <c r="J287" s="5" t="s">
        <v>29</v>
      </c>
      <c r="K287" s="5"/>
    </row>
    <row r="288" spans="1:11" x14ac:dyDescent="0.3">
      <c r="A288" s="2">
        <v>45756</v>
      </c>
      <c r="B288" s="3" t="s">
        <v>18</v>
      </c>
      <c r="C288" s="3" t="s">
        <v>45</v>
      </c>
      <c r="D288" s="3" t="s">
        <v>31</v>
      </c>
      <c r="E288" s="3" t="s">
        <v>32</v>
      </c>
      <c r="F288" s="3">
        <v>28</v>
      </c>
      <c r="G288" s="48">
        <v>11.15</v>
      </c>
      <c r="H288" s="48">
        <v>312.2</v>
      </c>
      <c r="I288" s="3" t="s">
        <v>15</v>
      </c>
      <c r="J288" s="3" t="s">
        <v>16</v>
      </c>
      <c r="K288" s="3"/>
    </row>
    <row r="289" spans="1:11" x14ac:dyDescent="0.3">
      <c r="A289" s="4">
        <v>45757</v>
      </c>
      <c r="B289" s="5" t="s">
        <v>11</v>
      </c>
      <c r="C289" s="5" t="s">
        <v>12</v>
      </c>
      <c r="D289" s="5" t="s">
        <v>13</v>
      </c>
      <c r="E289" s="5" t="s">
        <v>14</v>
      </c>
      <c r="F289" s="5"/>
      <c r="G289" s="49"/>
      <c r="H289" s="49"/>
      <c r="I289" s="5" t="s">
        <v>15</v>
      </c>
      <c r="J289" s="5" t="s">
        <v>47</v>
      </c>
      <c r="K289" s="5"/>
    </row>
    <row r="290" spans="1:11" x14ac:dyDescent="0.3">
      <c r="A290" s="2">
        <v>45757</v>
      </c>
      <c r="B290" s="3" t="s">
        <v>34</v>
      </c>
      <c r="C290" s="3" t="s">
        <v>19</v>
      </c>
      <c r="D290" s="3" t="s">
        <v>49</v>
      </c>
      <c r="E290" s="3" t="s">
        <v>50</v>
      </c>
      <c r="F290" s="3"/>
      <c r="G290" s="48"/>
      <c r="H290" s="48"/>
      <c r="I290" s="3" t="s">
        <v>41</v>
      </c>
      <c r="J290" s="3" t="s">
        <v>16</v>
      </c>
      <c r="K290" s="3"/>
    </row>
    <row r="291" spans="1:11" x14ac:dyDescent="0.3">
      <c r="A291" s="4">
        <v>45758</v>
      </c>
      <c r="B291" s="5" t="s">
        <v>56</v>
      </c>
      <c r="C291" s="5" t="s">
        <v>30</v>
      </c>
      <c r="D291" s="5" t="s">
        <v>58</v>
      </c>
      <c r="E291" s="5" t="s">
        <v>22</v>
      </c>
      <c r="F291" s="5">
        <v>119</v>
      </c>
      <c r="G291" s="49">
        <v>24.85</v>
      </c>
      <c r="H291" s="49">
        <v>2957.15</v>
      </c>
      <c r="I291" s="5" t="s">
        <v>41</v>
      </c>
      <c r="J291" s="5" t="s">
        <v>16</v>
      </c>
      <c r="K291" s="5" t="s">
        <v>33</v>
      </c>
    </row>
    <row r="292" spans="1:11" x14ac:dyDescent="0.3">
      <c r="A292" s="2">
        <v>45758</v>
      </c>
      <c r="B292" s="3" t="s">
        <v>20</v>
      </c>
      <c r="C292" s="3" t="s">
        <v>12</v>
      </c>
      <c r="D292" s="3" t="s">
        <v>49</v>
      </c>
      <c r="E292" s="3" t="s">
        <v>50</v>
      </c>
      <c r="F292" s="3">
        <v>58</v>
      </c>
      <c r="G292" s="48">
        <v>18.739999999999998</v>
      </c>
      <c r="H292" s="48">
        <v>1086.92</v>
      </c>
      <c r="I292" s="3" t="s">
        <v>23</v>
      </c>
      <c r="J292" s="3" t="s">
        <v>47</v>
      </c>
      <c r="K292" s="3" t="s">
        <v>17</v>
      </c>
    </row>
    <row r="293" spans="1:11" x14ac:dyDescent="0.3">
      <c r="A293" s="4">
        <v>45758</v>
      </c>
      <c r="B293" s="5" t="s">
        <v>56</v>
      </c>
      <c r="C293" s="5" t="s">
        <v>45</v>
      </c>
      <c r="D293" s="5" t="s">
        <v>54</v>
      </c>
      <c r="E293" s="5" t="s">
        <v>44</v>
      </c>
      <c r="F293" s="5">
        <v>125</v>
      </c>
      <c r="G293" s="49">
        <v>116.65</v>
      </c>
      <c r="H293" s="49">
        <v>14581.25</v>
      </c>
      <c r="I293" s="5" t="s">
        <v>28</v>
      </c>
      <c r="J293" s="5" t="s">
        <v>47</v>
      </c>
      <c r="K293" s="5" t="s">
        <v>46</v>
      </c>
    </row>
    <row r="294" spans="1:11" x14ac:dyDescent="0.3">
      <c r="A294" s="2">
        <v>45758</v>
      </c>
      <c r="B294" s="3" t="s">
        <v>25</v>
      </c>
      <c r="C294" s="3" t="s">
        <v>45</v>
      </c>
      <c r="D294" s="3" t="s">
        <v>21</v>
      </c>
      <c r="E294" s="3" t="s">
        <v>22</v>
      </c>
      <c r="F294" s="3">
        <v>171</v>
      </c>
      <c r="G294" s="48">
        <v>10.32</v>
      </c>
      <c r="H294" s="48">
        <v>1764.72</v>
      </c>
      <c r="I294" s="3" t="s">
        <v>15</v>
      </c>
      <c r="J294" s="3" t="s">
        <v>16</v>
      </c>
      <c r="K294" s="3" t="s">
        <v>46</v>
      </c>
    </row>
    <row r="295" spans="1:11" x14ac:dyDescent="0.3">
      <c r="A295" s="4">
        <v>45758</v>
      </c>
      <c r="B295" s="5" t="s">
        <v>25</v>
      </c>
      <c r="C295" s="5" t="s">
        <v>12</v>
      </c>
      <c r="D295" s="5" t="s">
        <v>54</v>
      </c>
      <c r="E295" s="5" t="s">
        <v>44</v>
      </c>
      <c r="F295" s="5">
        <v>46</v>
      </c>
      <c r="G295" s="49">
        <v>108.79</v>
      </c>
      <c r="H295" s="49">
        <v>5004.34</v>
      </c>
      <c r="I295" s="5" t="s">
        <v>15</v>
      </c>
      <c r="J295" s="5" t="s">
        <v>29</v>
      </c>
      <c r="K295" s="5"/>
    </row>
    <row r="296" spans="1:11" x14ac:dyDescent="0.3">
      <c r="A296" s="2">
        <v>45758</v>
      </c>
      <c r="B296" s="3" t="s">
        <v>20</v>
      </c>
      <c r="C296" s="3" t="s">
        <v>12</v>
      </c>
      <c r="D296" s="3" t="s">
        <v>48</v>
      </c>
      <c r="E296" s="3" t="s">
        <v>14</v>
      </c>
      <c r="F296" s="3">
        <v>164</v>
      </c>
      <c r="G296" s="48">
        <v>91.03</v>
      </c>
      <c r="H296" s="48">
        <v>14928.92</v>
      </c>
      <c r="I296" s="3" t="s">
        <v>41</v>
      </c>
      <c r="J296" s="3" t="s">
        <v>16</v>
      </c>
      <c r="K296" s="3" t="s">
        <v>33</v>
      </c>
    </row>
    <row r="297" spans="1:11" x14ac:dyDescent="0.3">
      <c r="A297" s="4">
        <v>45758</v>
      </c>
      <c r="B297" s="5" t="s">
        <v>34</v>
      </c>
      <c r="C297" s="5" t="s">
        <v>12</v>
      </c>
      <c r="D297" s="5" t="s">
        <v>21</v>
      </c>
      <c r="E297" s="5" t="s">
        <v>22</v>
      </c>
      <c r="F297" s="5">
        <v>106</v>
      </c>
      <c r="G297" s="49">
        <v>9.76</v>
      </c>
      <c r="H297" s="49">
        <v>1034.56</v>
      </c>
      <c r="I297" s="5" t="s">
        <v>41</v>
      </c>
      <c r="J297" s="5" t="s">
        <v>16</v>
      </c>
      <c r="K297" s="5" t="s">
        <v>42</v>
      </c>
    </row>
    <row r="298" spans="1:11" x14ac:dyDescent="0.3">
      <c r="A298" s="2">
        <v>45759</v>
      </c>
      <c r="B298" s="3" t="s">
        <v>20</v>
      </c>
      <c r="C298" s="3" t="s">
        <v>45</v>
      </c>
      <c r="D298" s="3" t="s">
        <v>43</v>
      </c>
      <c r="E298" s="3" t="s">
        <v>44</v>
      </c>
      <c r="F298" s="3">
        <v>23</v>
      </c>
      <c r="G298" s="48">
        <v>128.4</v>
      </c>
      <c r="H298" s="48">
        <v>2953.2</v>
      </c>
      <c r="I298" s="3" t="s">
        <v>28</v>
      </c>
      <c r="J298" s="3" t="s">
        <v>67</v>
      </c>
      <c r="K298" s="3"/>
    </row>
    <row r="299" spans="1:11" x14ac:dyDescent="0.3">
      <c r="A299" s="4">
        <v>45760</v>
      </c>
      <c r="B299" s="5" t="s">
        <v>18</v>
      </c>
      <c r="C299" s="5" t="s">
        <v>45</v>
      </c>
      <c r="D299" s="5" t="s">
        <v>60</v>
      </c>
      <c r="E299" s="5" t="s">
        <v>44</v>
      </c>
      <c r="F299" s="5">
        <v>102</v>
      </c>
      <c r="G299" s="49">
        <v>126</v>
      </c>
      <c r="H299" s="49">
        <v>12852</v>
      </c>
      <c r="I299" s="5" t="s">
        <v>37</v>
      </c>
      <c r="J299" s="5" t="s">
        <v>16</v>
      </c>
      <c r="K299" s="5" t="s">
        <v>42</v>
      </c>
    </row>
    <row r="300" spans="1:11" x14ac:dyDescent="0.3">
      <c r="A300" s="2">
        <v>45760</v>
      </c>
      <c r="B300" s="3" t="s">
        <v>20</v>
      </c>
      <c r="C300" s="3" t="s">
        <v>45</v>
      </c>
      <c r="D300" s="3" t="s">
        <v>39</v>
      </c>
      <c r="E300" s="3" t="s">
        <v>40</v>
      </c>
      <c r="F300" s="3">
        <v>33</v>
      </c>
      <c r="G300" s="48">
        <v>55.69</v>
      </c>
      <c r="H300" s="48">
        <v>1837.77</v>
      </c>
      <c r="I300" s="3" t="s">
        <v>41</v>
      </c>
      <c r="J300" s="3" t="s">
        <v>47</v>
      </c>
      <c r="K300" s="3"/>
    </row>
    <row r="301" spans="1:11" x14ac:dyDescent="0.3">
      <c r="A301" s="4">
        <v>45760</v>
      </c>
      <c r="B301" s="5" t="s">
        <v>20</v>
      </c>
      <c r="C301" s="5" t="s">
        <v>19</v>
      </c>
      <c r="D301" s="5" t="s">
        <v>48</v>
      </c>
      <c r="E301" s="5" t="s">
        <v>14</v>
      </c>
      <c r="F301" s="5">
        <v>157</v>
      </c>
      <c r="G301" s="49">
        <v>80.349999999999994</v>
      </c>
      <c r="H301" s="49">
        <v>12614.95</v>
      </c>
      <c r="I301" s="5" t="s">
        <v>28</v>
      </c>
      <c r="J301" s="5" t="s">
        <v>16</v>
      </c>
      <c r="K301" s="5" t="s">
        <v>42</v>
      </c>
    </row>
    <row r="302" spans="1:11" x14ac:dyDescent="0.3">
      <c r="A302" s="2">
        <v>45761</v>
      </c>
      <c r="B302" s="3" t="s">
        <v>53</v>
      </c>
      <c r="C302" s="3" t="s">
        <v>45</v>
      </c>
      <c r="D302" s="3" t="s">
        <v>35</v>
      </c>
      <c r="E302" s="3" t="s">
        <v>32</v>
      </c>
      <c r="F302" s="3">
        <v>158</v>
      </c>
      <c r="G302" s="48">
        <v>14.27</v>
      </c>
      <c r="H302" s="48">
        <v>2254.66</v>
      </c>
      <c r="I302" s="3" t="s">
        <v>37</v>
      </c>
      <c r="J302" s="3" t="s">
        <v>47</v>
      </c>
      <c r="K302" s="3" t="s">
        <v>42</v>
      </c>
    </row>
    <row r="303" spans="1:11" x14ac:dyDescent="0.3">
      <c r="A303" s="4">
        <v>45761</v>
      </c>
      <c r="B303" s="5" t="s">
        <v>36</v>
      </c>
      <c r="C303" s="5" t="s">
        <v>19</v>
      </c>
      <c r="D303" s="5" t="s">
        <v>26</v>
      </c>
      <c r="E303" s="5" t="s">
        <v>27</v>
      </c>
      <c r="F303" s="5">
        <v>133</v>
      </c>
      <c r="G303" s="49">
        <v>50.66</v>
      </c>
      <c r="H303" s="49">
        <v>6737.78</v>
      </c>
      <c r="I303" s="5" t="s">
        <v>37</v>
      </c>
      <c r="J303" s="5" t="s">
        <v>16</v>
      </c>
      <c r="K303" s="5"/>
    </row>
    <row r="304" spans="1:11" x14ac:dyDescent="0.3">
      <c r="A304" s="2">
        <v>45761</v>
      </c>
      <c r="B304" s="3" t="s">
        <v>56</v>
      </c>
      <c r="C304" s="3" t="s">
        <v>19</v>
      </c>
      <c r="D304" s="3" t="s">
        <v>54</v>
      </c>
      <c r="E304" s="3" t="s">
        <v>44</v>
      </c>
      <c r="F304" s="3">
        <v>65</v>
      </c>
      <c r="G304" s="48">
        <v>118.67</v>
      </c>
      <c r="H304" s="48">
        <v>7713.55</v>
      </c>
      <c r="I304" s="3" t="s">
        <v>23</v>
      </c>
      <c r="J304" s="3" t="s">
        <v>29</v>
      </c>
      <c r="K304" s="3"/>
    </row>
    <row r="305" spans="1:11" x14ac:dyDescent="0.3">
      <c r="A305" s="4">
        <v>45761</v>
      </c>
      <c r="B305" s="5" t="s">
        <v>11</v>
      </c>
      <c r="C305" s="5" t="s">
        <v>38</v>
      </c>
      <c r="D305" s="5" t="s">
        <v>26</v>
      </c>
      <c r="E305" s="5" t="s">
        <v>27</v>
      </c>
      <c r="F305" s="5">
        <v>91</v>
      </c>
      <c r="G305" s="49">
        <v>59.14</v>
      </c>
      <c r="H305" s="49">
        <v>5381.74</v>
      </c>
      <c r="I305" s="5" t="s">
        <v>23</v>
      </c>
      <c r="J305" s="5" t="s">
        <v>16</v>
      </c>
      <c r="K305" s="5"/>
    </row>
    <row r="306" spans="1:11" x14ac:dyDescent="0.3">
      <c r="A306" s="2">
        <v>45761</v>
      </c>
      <c r="B306" s="3" t="s">
        <v>34</v>
      </c>
      <c r="C306" s="3" t="s">
        <v>38</v>
      </c>
      <c r="D306" s="3" t="s">
        <v>54</v>
      </c>
      <c r="E306" s="3" t="s">
        <v>44</v>
      </c>
      <c r="F306" s="3">
        <v>86</v>
      </c>
      <c r="G306" s="48">
        <v>108.81</v>
      </c>
      <c r="H306" s="48">
        <v>9357.66</v>
      </c>
      <c r="I306" s="3" t="s">
        <v>23</v>
      </c>
      <c r="J306" s="3" t="s">
        <v>47</v>
      </c>
      <c r="K306" s="3" t="s">
        <v>42</v>
      </c>
    </row>
    <row r="307" spans="1:11" x14ac:dyDescent="0.3">
      <c r="A307" s="4">
        <v>45762</v>
      </c>
      <c r="B307" s="5" t="s">
        <v>25</v>
      </c>
      <c r="C307" s="5" t="s">
        <v>38</v>
      </c>
      <c r="D307" s="5" t="s">
        <v>49</v>
      </c>
      <c r="E307" s="5" t="s">
        <v>50</v>
      </c>
      <c r="F307" s="5">
        <v>51</v>
      </c>
      <c r="G307" s="49">
        <v>20.99</v>
      </c>
      <c r="H307" s="49">
        <v>1070.49</v>
      </c>
      <c r="I307" s="5" t="s">
        <v>37</v>
      </c>
      <c r="J307" s="5" t="s">
        <v>69</v>
      </c>
      <c r="K307" s="5" t="s">
        <v>33</v>
      </c>
    </row>
    <row r="308" spans="1:11" x14ac:dyDescent="0.3">
      <c r="A308" s="2">
        <v>45762</v>
      </c>
      <c r="B308" s="3" t="s">
        <v>25</v>
      </c>
      <c r="C308" s="3" t="s">
        <v>30</v>
      </c>
      <c r="D308" s="3" t="s">
        <v>26</v>
      </c>
      <c r="E308" s="3" t="s">
        <v>27</v>
      </c>
      <c r="F308" s="3">
        <v>77</v>
      </c>
      <c r="G308" s="48">
        <v>56.7</v>
      </c>
      <c r="H308" s="48">
        <v>4365.8999999999996</v>
      </c>
      <c r="I308" s="3" t="s">
        <v>23</v>
      </c>
      <c r="J308" s="3" t="s">
        <v>47</v>
      </c>
      <c r="K308" s="3" t="s">
        <v>17</v>
      </c>
    </row>
    <row r="309" spans="1:11" x14ac:dyDescent="0.3">
      <c r="A309" s="4">
        <v>45762</v>
      </c>
      <c r="B309" s="5" t="s">
        <v>53</v>
      </c>
      <c r="C309" s="5" t="s">
        <v>45</v>
      </c>
      <c r="D309" s="5" t="s">
        <v>48</v>
      </c>
      <c r="E309" s="5" t="s">
        <v>14</v>
      </c>
      <c r="F309" s="5">
        <v>63</v>
      </c>
      <c r="G309" s="49">
        <v>84.5</v>
      </c>
      <c r="H309" s="49">
        <v>5323.5</v>
      </c>
      <c r="I309" s="5" t="s">
        <v>37</v>
      </c>
      <c r="J309" s="5" t="s">
        <v>16</v>
      </c>
      <c r="K309" s="5"/>
    </row>
    <row r="310" spans="1:11" x14ac:dyDescent="0.3">
      <c r="A310" s="2">
        <v>45763</v>
      </c>
      <c r="B310" s="3" t="s">
        <v>56</v>
      </c>
      <c r="C310" s="3" t="s">
        <v>19</v>
      </c>
      <c r="D310" s="3" t="s">
        <v>49</v>
      </c>
      <c r="E310" s="3" t="s">
        <v>50</v>
      </c>
      <c r="F310" s="3">
        <v>177</v>
      </c>
      <c r="G310" s="48">
        <v>21.17</v>
      </c>
      <c r="H310" s="48">
        <v>3747.09</v>
      </c>
      <c r="I310" s="3" t="s">
        <v>37</v>
      </c>
      <c r="J310" s="3" t="s">
        <v>16</v>
      </c>
      <c r="K310" s="3" t="s">
        <v>17</v>
      </c>
    </row>
    <row r="311" spans="1:11" x14ac:dyDescent="0.3">
      <c r="A311" s="4">
        <v>45763</v>
      </c>
      <c r="B311" s="5" t="s">
        <v>65</v>
      </c>
      <c r="C311" s="5" t="s">
        <v>19</v>
      </c>
      <c r="D311" s="5" t="s">
        <v>58</v>
      </c>
      <c r="E311" s="5" t="s">
        <v>22</v>
      </c>
      <c r="F311" s="5">
        <v>51</v>
      </c>
      <c r="G311" s="49">
        <v>25.4</v>
      </c>
      <c r="H311" s="49">
        <v>1295.4000000000001</v>
      </c>
      <c r="I311" s="5" t="s">
        <v>28</v>
      </c>
      <c r="J311" s="5" t="s">
        <v>16</v>
      </c>
      <c r="K311" s="5" t="s">
        <v>24</v>
      </c>
    </row>
    <row r="312" spans="1:11" x14ac:dyDescent="0.3">
      <c r="A312" s="2">
        <v>45765</v>
      </c>
      <c r="B312" s="3" t="s">
        <v>34</v>
      </c>
      <c r="C312" s="3" t="s">
        <v>30</v>
      </c>
      <c r="D312" s="3" t="s">
        <v>26</v>
      </c>
      <c r="E312" s="3" t="s">
        <v>27</v>
      </c>
      <c r="F312" s="3">
        <v>14</v>
      </c>
      <c r="G312" s="48">
        <v>51.06</v>
      </c>
      <c r="H312" s="48">
        <v>714.84</v>
      </c>
      <c r="I312" s="3" t="s">
        <v>37</v>
      </c>
      <c r="J312" s="3" t="s">
        <v>16</v>
      </c>
      <c r="K312" s="3"/>
    </row>
    <row r="313" spans="1:11" x14ac:dyDescent="0.3">
      <c r="A313" s="4">
        <v>45766</v>
      </c>
      <c r="B313" s="5" t="s">
        <v>36</v>
      </c>
      <c r="C313" s="5" t="s">
        <v>45</v>
      </c>
      <c r="D313" s="5" t="s">
        <v>31</v>
      </c>
      <c r="E313" s="5" t="s">
        <v>32</v>
      </c>
      <c r="F313" s="5">
        <v>184</v>
      </c>
      <c r="G313" s="49">
        <v>11.43</v>
      </c>
      <c r="H313" s="49">
        <v>2103.12</v>
      </c>
      <c r="I313" s="5" t="s">
        <v>41</v>
      </c>
      <c r="J313" s="5" t="s">
        <v>16</v>
      </c>
      <c r="K313" s="5" t="s">
        <v>24</v>
      </c>
    </row>
    <row r="314" spans="1:11" x14ac:dyDescent="0.3">
      <c r="A314" s="2">
        <v>45767</v>
      </c>
      <c r="B314" s="3" t="s">
        <v>34</v>
      </c>
      <c r="C314" s="3" t="s">
        <v>45</v>
      </c>
      <c r="D314" s="3" t="s">
        <v>52</v>
      </c>
      <c r="E314" s="3" t="s">
        <v>27</v>
      </c>
      <c r="F314" s="3">
        <v>157</v>
      </c>
      <c r="G314" s="48">
        <v>50.21</v>
      </c>
      <c r="H314" s="48">
        <v>7882.97</v>
      </c>
      <c r="I314" s="3" t="s">
        <v>15</v>
      </c>
      <c r="J314" s="3" t="s">
        <v>16</v>
      </c>
      <c r="K314" s="3" t="s">
        <v>42</v>
      </c>
    </row>
    <row r="315" spans="1:11" x14ac:dyDescent="0.3">
      <c r="A315" s="4">
        <v>45768</v>
      </c>
      <c r="B315" s="5" t="s">
        <v>25</v>
      </c>
      <c r="C315" s="5" t="s">
        <v>30</v>
      </c>
      <c r="D315" s="5" t="s">
        <v>31</v>
      </c>
      <c r="E315" s="5" t="s">
        <v>32</v>
      </c>
      <c r="F315" s="5">
        <v>103</v>
      </c>
      <c r="G315" s="49">
        <v>12.57</v>
      </c>
      <c r="H315" s="49">
        <v>1294.71</v>
      </c>
      <c r="I315" s="5" t="s">
        <v>23</v>
      </c>
      <c r="J315" s="5" t="s">
        <v>16</v>
      </c>
      <c r="K315" s="5" t="s">
        <v>42</v>
      </c>
    </row>
    <row r="316" spans="1:11" x14ac:dyDescent="0.3">
      <c r="A316" s="2">
        <v>45768</v>
      </c>
      <c r="B316" s="3" t="s">
        <v>25</v>
      </c>
      <c r="C316" s="3" t="s">
        <v>45</v>
      </c>
      <c r="D316" s="3" t="s">
        <v>31</v>
      </c>
      <c r="E316" s="3" t="s">
        <v>32</v>
      </c>
      <c r="F316" s="3">
        <v>92</v>
      </c>
      <c r="G316" s="48">
        <v>11.67</v>
      </c>
      <c r="H316" s="48">
        <v>1073.6400000000001</v>
      </c>
      <c r="I316" s="3" t="s">
        <v>15</v>
      </c>
      <c r="J316" s="3" t="s">
        <v>29</v>
      </c>
      <c r="K316" s="3" t="s">
        <v>17</v>
      </c>
    </row>
    <row r="317" spans="1:11" x14ac:dyDescent="0.3">
      <c r="A317" s="4">
        <v>45768</v>
      </c>
      <c r="B317" s="5" t="s">
        <v>25</v>
      </c>
      <c r="C317" s="5" t="s">
        <v>45</v>
      </c>
      <c r="D317" s="5" t="s">
        <v>13</v>
      </c>
      <c r="E317" s="5" t="s">
        <v>14</v>
      </c>
      <c r="F317" s="5">
        <v>50</v>
      </c>
      <c r="G317" s="49">
        <v>43.78</v>
      </c>
      <c r="H317" s="49">
        <v>2189</v>
      </c>
      <c r="I317" s="5" t="s">
        <v>41</v>
      </c>
      <c r="J317" s="5" t="s">
        <v>47</v>
      </c>
      <c r="K317" s="5" t="s">
        <v>24</v>
      </c>
    </row>
    <row r="318" spans="1:11" x14ac:dyDescent="0.3">
      <c r="A318" s="2">
        <v>45769</v>
      </c>
      <c r="B318" s="3" t="s">
        <v>18</v>
      </c>
      <c r="C318" s="3" t="s">
        <v>12</v>
      </c>
      <c r="D318" s="3" t="s">
        <v>13</v>
      </c>
      <c r="E318" s="3" t="s">
        <v>14</v>
      </c>
      <c r="F318" s="3">
        <v>96</v>
      </c>
      <c r="G318" s="48">
        <v>44.97</v>
      </c>
      <c r="H318" s="48">
        <v>4317.12</v>
      </c>
      <c r="I318" s="3" t="s">
        <v>15</v>
      </c>
      <c r="J318" s="3" t="s">
        <v>47</v>
      </c>
      <c r="K318" s="3" t="s">
        <v>33</v>
      </c>
    </row>
    <row r="319" spans="1:11" x14ac:dyDescent="0.3">
      <c r="A319" s="4">
        <v>45769</v>
      </c>
      <c r="B319" s="5" t="s">
        <v>25</v>
      </c>
      <c r="C319" s="5" t="s">
        <v>38</v>
      </c>
      <c r="D319" s="5" t="s">
        <v>26</v>
      </c>
      <c r="E319" s="5" t="s">
        <v>27</v>
      </c>
      <c r="F319" s="5">
        <v>153</v>
      </c>
      <c r="G319" s="49">
        <v>54.08</v>
      </c>
      <c r="H319" s="49">
        <v>8274.24</v>
      </c>
      <c r="I319" s="5" t="s">
        <v>41</v>
      </c>
      <c r="J319" s="5" t="s">
        <v>47</v>
      </c>
      <c r="K319" s="5" t="s">
        <v>33</v>
      </c>
    </row>
    <row r="320" spans="1:11" x14ac:dyDescent="0.3">
      <c r="A320" s="2">
        <v>45770</v>
      </c>
      <c r="B320" s="3" t="s">
        <v>56</v>
      </c>
      <c r="C320" s="3" t="s">
        <v>45</v>
      </c>
      <c r="D320" s="3" t="s">
        <v>48</v>
      </c>
      <c r="E320" s="3" t="s">
        <v>14</v>
      </c>
      <c r="F320" s="3">
        <v>197</v>
      </c>
      <c r="G320" s="48">
        <v>90.57</v>
      </c>
      <c r="H320" s="48">
        <v>17842.29</v>
      </c>
      <c r="I320" s="3" t="s">
        <v>23</v>
      </c>
      <c r="J320" s="3" t="s">
        <v>16</v>
      </c>
      <c r="K320" s="3" t="s">
        <v>42</v>
      </c>
    </row>
    <row r="321" spans="1:11" x14ac:dyDescent="0.3">
      <c r="A321" s="4">
        <v>45770</v>
      </c>
      <c r="B321" s="5" t="s">
        <v>25</v>
      </c>
      <c r="C321" s="5" t="s">
        <v>19</v>
      </c>
      <c r="D321" s="5" t="s">
        <v>48</v>
      </c>
      <c r="E321" s="5" t="s">
        <v>14</v>
      </c>
      <c r="F321" s="5">
        <v>82</v>
      </c>
      <c r="G321" s="49">
        <v>88.73</v>
      </c>
      <c r="H321" s="49">
        <v>7275.86</v>
      </c>
      <c r="I321" s="5" t="s">
        <v>23</v>
      </c>
      <c r="J321" s="5" t="s">
        <v>69</v>
      </c>
      <c r="K321" s="5"/>
    </row>
    <row r="322" spans="1:11" x14ac:dyDescent="0.3">
      <c r="A322" s="2">
        <v>45770</v>
      </c>
      <c r="B322" s="3" t="s">
        <v>34</v>
      </c>
      <c r="C322" s="3" t="s">
        <v>45</v>
      </c>
      <c r="D322" s="3" t="s">
        <v>39</v>
      </c>
      <c r="E322" s="3" t="s">
        <v>40</v>
      </c>
      <c r="F322" s="3">
        <v>135</v>
      </c>
      <c r="G322" s="48">
        <v>52.24</v>
      </c>
      <c r="H322" s="48">
        <v>7052.4</v>
      </c>
      <c r="I322" s="3" t="s">
        <v>37</v>
      </c>
      <c r="J322" s="3" t="s">
        <v>16</v>
      </c>
      <c r="K322" s="3" t="s">
        <v>46</v>
      </c>
    </row>
    <row r="323" spans="1:11" x14ac:dyDescent="0.3">
      <c r="A323" s="4">
        <v>45771</v>
      </c>
      <c r="B323" s="5" t="s">
        <v>34</v>
      </c>
      <c r="C323" s="5" t="s">
        <v>12</v>
      </c>
      <c r="D323" s="5" t="s">
        <v>35</v>
      </c>
      <c r="E323" s="5" t="s">
        <v>32</v>
      </c>
      <c r="F323" s="5">
        <v>61</v>
      </c>
      <c r="G323" s="49">
        <v>13.49</v>
      </c>
      <c r="H323" s="49">
        <v>822.89</v>
      </c>
      <c r="I323" s="5" t="s">
        <v>15</v>
      </c>
      <c r="J323" s="5" t="s">
        <v>16</v>
      </c>
      <c r="K323" s="5"/>
    </row>
    <row r="324" spans="1:11" x14ac:dyDescent="0.3">
      <c r="A324" s="2">
        <v>45771</v>
      </c>
      <c r="B324" s="3" t="s">
        <v>18</v>
      </c>
      <c r="C324" s="3" t="s">
        <v>30</v>
      </c>
      <c r="D324" s="3" t="s">
        <v>52</v>
      </c>
      <c r="E324" s="3" t="s">
        <v>27</v>
      </c>
      <c r="F324" s="3">
        <v>74</v>
      </c>
      <c r="G324" s="48">
        <v>45.34</v>
      </c>
      <c r="H324" s="48">
        <v>3355.16</v>
      </c>
      <c r="I324" s="3" t="s">
        <v>41</v>
      </c>
      <c r="J324" s="3" t="s">
        <v>16</v>
      </c>
      <c r="K324" s="3" t="s">
        <v>46</v>
      </c>
    </row>
    <row r="325" spans="1:11" x14ac:dyDescent="0.3">
      <c r="A325" s="4">
        <v>45771</v>
      </c>
      <c r="B325" s="5" t="s">
        <v>20</v>
      </c>
      <c r="C325" s="5" t="s">
        <v>30</v>
      </c>
      <c r="D325" s="5" t="s">
        <v>35</v>
      </c>
      <c r="E325" s="5" t="s">
        <v>32</v>
      </c>
      <c r="F325" s="5">
        <v>127</v>
      </c>
      <c r="G325" s="49">
        <v>13.09</v>
      </c>
      <c r="H325" s="49">
        <v>1662.43</v>
      </c>
      <c r="I325" s="5" t="s">
        <v>37</v>
      </c>
      <c r="J325" s="5" t="s">
        <v>29</v>
      </c>
      <c r="K325" s="5" t="s">
        <v>42</v>
      </c>
    </row>
    <row r="326" spans="1:11" x14ac:dyDescent="0.3">
      <c r="A326" s="2">
        <v>45771</v>
      </c>
      <c r="B326" s="3" t="s">
        <v>25</v>
      </c>
      <c r="C326" s="3" t="s">
        <v>12</v>
      </c>
      <c r="D326" s="3" t="s">
        <v>60</v>
      </c>
      <c r="E326" s="3" t="s">
        <v>44</v>
      </c>
      <c r="F326" s="3">
        <v>69</v>
      </c>
      <c r="G326" s="48">
        <v>117.58</v>
      </c>
      <c r="H326" s="48">
        <v>8113.02</v>
      </c>
      <c r="I326" s="3" t="s">
        <v>41</v>
      </c>
      <c r="J326" s="3" t="s">
        <v>16</v>
      </c>
      <c r="K326" s="3"/>
    </row>
    <row r="327" spans="1:11" x14ac:dyDescent="0.3">
      <c r="A327" s="4">
        <v>45771</v>
      </c>
      <c r="B327" s="5" t="s">
        <v>36</v>
      </c>
      <c r="C327" s="5" t="s">
        <v>30</v>
      </c>
      <c r="D327" s="5" t="s">
        <v>39</v>
      </c>
      <c r="E327" s="5" t="s">
        <v>40</v>
      </c>
      <c r="F327" s="5">
        <v>132</v>
      </c>
      <c r="G327" s="49">
        <v>51.83</v>
      </c>
      <c r="H327" s="49">
        <v>6841.56</v>
      </c>
      <c r="I327" s="5" t="s">
        <v>15</v>
      </c>
      <c r="J327" s="5" t="s">
        <v>29</v>
      </c>
      <c r="K327" s="5" t="s">
        <v>42</v>
      </c>
    </row>
    <row r="328" spans="1:11" x14ac:dyDescent="0.3">
      <c r="A328" s="2">
        <v>45771</v>
      </c>
      <c r="B328" s="3" t="s">
        <v>18</v>
      </c>
      <c r="C328" s="3" t="s">
        <v>30</v>
      </c>
      <c r="D328" s="3" t="s">
        <v>13</v>
      </c>
      <c r="E328" s="3" t="s">
        <v>14</v>
      </c>
      <c r="F328" s="3">
        <v>75</v>
      </c>
      <c r="G328" s="48">
        <v>48.14</v>
      </c>
      <c r="H328" s="48">
        <v>3610.5</v>
      </c>
      <c r="I328" s="3" t="s">
        <v>15</v>
      </c>
      <c r="J328" s="3" t="s">
        <v>16</v>
      </c>
      <c r="K328" s="3" t="s">
        <v>33</v>
      </c>
    </row>
    <row r="329" spans="1:11" x14ac:dyDescent="0.3">
      <c r="A329" s="4">
        <v>45772</v>
      </c>
      <c r="B329" s="5" t="s">
        <v>20</v>
      </c>
      <c r="C329" s="5" t="s">
        <v>45</v>
      </c>
      <c r="D329" s="5" t="s">
        <v>31</v>
      </c>
      <c r="E329" s="5" t="s">
        <v>32</v>
      </c>
      <c r="F329" s="5">
        <v>187</v>
      </c>
      <c r="G329" s="49">
        <v>11.98</v>
      </c>
      <c r="H329" s="49">
        <v>2240.2600000000002</v>
      </c>
      <c r="I329" s="5" t="s">
        <v>41</v>
      </c>
      <c r="J329" s="5" t="s">
        <v>29</v>
      </c>
      <c r="K329" s="5"/>
    </row>
    <row r="330" spans="1:11" x14ac:dyDescent="0.3">
      <c r="A330" s="2">
        <v>45772</v>
      </c>
      <c r="B330" s="3" t="s">
        <v>56</v>
      </c>
      <c r="C330" s="3" t="s">
        <v>19</v>
      </c>
      <c r="D330" s="3" t="s">
        <v>35</v>
      </c>
      <c r="E330" s="3" t="s">
        <v>32</v>
      </c>
      <c r="F330" s="3">
        <v>73</v>
      </c>
      <c r="G330" s="48">
        <v>13.67</v>
      </c>
      <c r="H330" s="48">
        <v>997.91</v>
      </c>
      <c r="I330" s="3" t="s">
        <v>28</v>
      </c>
      <c r="J330" s="3" t="s">
        <v>16</v>
      </c>
      <c r="K330" s="3"/>
    </row>
    <row r="331" spans="1:11" x14ac:dyDescent="0.3">
      <c r="A331" s="4">
        <v>45774</v>
      </c>
      <c r="B331" s="5" t="s">
        <v>34</v>
      </c>
      <c r="C331" s="5" t="s">
        <v>12</v>
      </c>
      <c r="D331" s="5" t="s">
        <v>39</v>
      </c>
      <c r="E331" s="5" t="s">
        <v>40</v>
      </c>
      <c r="F331" s="5">
        <v>197</v>
      </c>
      <c r="G331" s="49">
        <v>55.49</v>
      </c>
      <c r="H331" s="49">
        <v>10931.53</v>
      </c>
      <c r="I331" s="5" t="s">
        <v>15</v>
      </c>
      <c r="J331" s="5" t="s">
        <v>16</v>
      </c>
      <c r="K331" s="5" t="s">
        <v>46</v>
      </c>
    </row>
    <row r="332" spans="1:11" x14ac:dyDescent="0.3">
      <c r="A332" s="2">
        <v>45774</v>
      </c>
      <c r="B332" s="3" t="s">
        <v>56</v>
      </c>
      <c r="C332" s="3" t="s">
        <v>45</v>
      </c>
      <c r="D332" s="3" t="s">
        <v>26</v>
      </c>
      <c r="E332" s="3" t="s">
        <v>27</v>
      </c>
      <c r="F332" s="3">
        <v>182</v>
      </c>
      <c r="G332" s="48">
        <v>56.96</v>
      </c>
      <c r="H332" s="48">
        <v>10366.719999999999</v>
      </c>
      <c r="I332" s="3" t="s">
        <v>15</v>
      </c>
      <c r="J332" s="3" t="s">
        <v>16</v>
      </c>
      <c r="K332" s="3" t="s">
        <v>42</v>
      </c>
    </row>
    <row r="333" spans="1:11" x14ac:dyDescent="0.3">
      <c r="A333" s="4">
        <v>45774</v>
      </c>
      <c r="B333" s="5" t="s">
        <v>56</v>
      </c>
      <c r="C333" s="5" t="s">
        <v>19</v>
      </c>
      <c r="D333" s="5" t="s">
        <v>35</v>
      </c>
      <c r="E333" s="5" t="s">
        <v>32</v>
      </c>
      <c r="F333" s="5">
        <v>84</v>
      </c>
      <c r="G333" s="49">
        <v>13.56</v>
      </c>
      <c r="H333" s="49">
        <v>1139.04</v>
      </c>
      <c r="I333" s="5" t="s">
        <v>23</v>
      </c>
      <c r="J333" s="5" t="s">
        <v>47</v>
      </c>
      <c r="K333" s="5"/>
    </row>
    <row r="334" spans="1:11" x14ac:dyDescent="0.3">
      <c r="A334" s="2">
        <v>45774</v>
      </c>
      <c r="B334" s="3" t="s">
        <v>36</v>
      </c>
      <c r="C334" s="3" t="s">
        <v>45</v>
      </c>
      <c r="D334" s="3" t="s">
        <v>59</v>
      </c>
      <c r="E334" s="3" t="s">
        <v>50</v>
      </c>
      <c r="F334" s="3">
        <v>168</v>
      </c>
      <c r="G334" s="48">
        <v>31.04</v>
      </c>
      <c r="H334" s="48">
        <v>5214.72</v>
      </c>
      <c r="I334" s="3" t="s">
        <v>41</v>
      </c>
      <c r="J334" s="3" t="s">
        <v>16</v>
      </c>
      <c r="K334" s="3" t="s">
        <v>42</v>
      </c>
    </row>
    <row r="335" spans="1:11" x14ac:dyDescent="0.3">
      <c r="A335" s="4">
        <v>45774</v>
      </c>
      <c r="B335" s="5" t="s">
        <v>20</v>
      </c>
      <c r="C335" s="5" t="s">
        <v>12</v>
      </c>
      <c r="D335" s="5" t="s">
        <v>54</v>
      </c>
      <c r="E335" s="5" t="s">
        <v>44</v>
      </c>
      <c r="F335" s="5">
        <v>74</v>
      </c>
      <c r="G335" s="49">
        <v>112.61</v>
      </c>
      <c r="H335" s="49">
        <v>8333.14</v>
      </c>
      <c r="I335" s="5" t="s">
        <v>15</v>
      </c>
      <c r="J335" s="5" t="s">
        <v>16</v>
      </c>
      <c r="K335" s="5" t="s">
        <v>42</v>
      </c>
    </row>
    <row r="336" spans="1:11" x14ac:dyDescent="0.3">
      <c r="A336" s="2">
        <v>45774</v>
      </c>
      <c r="B336" s="3" t="s">
        <v>68</v>
      </c>
      <c r="C336" s="3" t="s">
        <v>45</v>
      </c>
      <c r="D336" s="3" t="s">
        <v>43</v>
      </c>
      <c r="E336" s="3" t="s">
        <v>44</v>
      </c>
      <c r="F336" s="3">
        <v>126</v>
      </c>
      <c r="G336" s="48">
        <v>131.08000000000001</v>
      </c>
      <c r="H336" s="48">
        <v>16516.080000000002</v>
      </c>
      <c r="I336" s="3" t="s">
        <v>37</v>
      </c>
      <c r="J336" s="3" t="s">
        <v>16</v>
      </c>
      <c r="K336" s="3" t="s">
        <v>17</v>
      </c>
    </row>
    <row r="337" spans="1:11" x14ac:dyDescent="0.3">
      <c r="A337" s="4">
        <v>45775</v>
      </c>
      <c r="B337" s="5" t="s">
        <v>36</v>
      </c>
      <c r="C337" s="5" t="s">
        <v>30</v>
      </c>
      <c r="D337" s="5" t="s">
        <v>13</v>
      </c>
      <c r="E337" s="5" t="s">
        <v>14</v>
      </c>
      <c r="F337" s="5">
        <v>37</v>
      </c>
      <c r="G337" s="49">
        <v>45.64</v>
      </c>
      <c r="H337" s="49">
        <v>1688.68</v>
      </c>
      <c r="I337" s="5" t="s">
        <v>15</v>
      </c>
      <c r="J337" s="5" t="s">
        <v>16</v>
      </c>
      <c r="K337" s="5"/>
    </row>
    <row r="338" spans="1:11" x14ac:dyDescent="0.3">
      <c r="A338" s="2">
        <v>45775</v>
      </c>
      <c r="B338" s="3" t="s">
        <v>66</v>
      </c>
      <c r="C338" s="3" t="s">
        <v>19</v>
      </c>
      <c r="D338" s="3" t="s">
        <v>49</v>
      </c>
      <c r="E338" s="3" t="s">
        <v>50</v>
      </c>
      <c r="F338" s="3">
        <v>193</v>
      </c>
      <c r="G338" s="48">
        <v>18.66</v>
      </c>
      <c r="H338" s="48">
        <v>3601.38</v>
      </c>
      <c r="I338" s="3" t="s">
        <v>37</v>
      </c>
      <c r="J338" s="3" t="s">
        <v>16</v>
      </c>
      <c r="K338" s="3" t="s">
        <v>24</v>
      </c>
    </row>
    <row r="339" spans="1:11" x14ac:dyDescent="0.3">
      <c r="A339" s="4">
        <v>45775</v>
      </c>
      <c r="B339" s="5" t="s">
        <v>11</v>
      </c>
      <c r="C339" s="5" t="s">
        <v>45</v>
      </c>
      <c r="D339" s="5" t="s">
        <v>49</v>
      </c>
      <c r="E339" s="5" t="s">
        <v>50</v>
      </c>
      <c r="F339" s="5">
        <v>17</v>
      </c>
      <c r="G339" s="49">
        <v>19.23</v>
      </c>
      <c r="H339" s="49">
        <v>326.91000000000003</v>
      </c>
      <c r="I339" s="5" t="s">
        <v>28</v>
      </c>
      <c r="J339" s="5" t="s">
        <v>16</v>
      </c>
      <c r="K339" s="5" t="s">
        <v>42</v>
      </c>
    </row>
    <row r="340" spans="1:11" x14ac:dyDescent="0.3">
      <c r="A340" s="2">
        <v>45775</v>
      </c>
      <c r="B340" s="3" t="s">
        <v>11</v>
      </c>
      <c r="C340" s="3" t="s">
        <v>12</v>
      </c>
      <c r="D340" s="3" t="s">
        <v>52</v>
      </c>
      <c r="E340" s="3" t="s">
        <v>27</v>
      </c>
      <c r="F340" s="3">
        <v>11</v>
      </c>
      <c r="G340" s="48">
        <v>47.95</v>
      </c>
      <c r="H340" s="48">
        <v>527.45000000000005</v>
      </c>
      <c r="I340" s="3" t="s">
        <v>37</v>
      </c>
      <c r="J340" s="3" t="s">
        <v>29</v>
      </c>
      <c r="K340" s="3"/>
    </row>
    <row r="341" spans="1:11" x14ac:dyDescent="0.3">
      <c r="A341" s="4">
        <v>45775</v>
      </c>
      <c r="B341" s="5" t="s">
        <v>11</v>
      </c>
      <c r="C341" s="5" t="s">
        <v>30</v>
      </c>
      <c r="D341" s="5" t="s">
        <v>49</v>
      </c>
      <c r="E341" s="5" t="s">
        <v>50</v>
      </c>
      <c r="F341" s="5">
        <v>194</v>
      </c>
      <c r="G341" s="49">
        <v>18.8</v>
      </c>
      <c r="H341" s="49">
        <v>3647.2</v>
      </c>
      <c r="I341" s="5" t="s">
        <v>23</v>
      </c>
      <c r="J341" s="5" t="s">
        <v>16</v>
      </c>
      <c r="K341" s="5" t="s">
        <v>24</v>
      </c>
    </row>
    <row r="342" spans="1:11" x14ac:dyDescent="0.3">
      <c r="A342" s="2">
        <v>45776</v>
      </c>
      <c r="B342" s="3" t="s">
        <v>36</v>
      </c>
      <c r="C342" s="3" t="s">
        <v>12</v>
      </c>
      <c r="D342" s="3" t="s">
        <v>21</v>
      </c>
      <c r="E342" s="3" t="s">
        <v>22</v>
      </c>
      <c r="F342" s="3">
        <v>194</v>
      </c>
      <c r="G342" s="48">
        <v>9.8800000000000008</v>
      </c>
      <c r="H342" s="48">
        <v>1916.72</v>
      </c>
      <c r="I342" s="3" t="s">
        <v>37</v>
      </c>
      <c r="J342" s="3" t="s">
        <v>16</v>
      </c>
      <c r="K342" s="3" t="s">
        <v>24</v>
      </c>
    </row>
    <row r="343" spans="1:11" x14ac:dyDescent="0.3">
      <c r="A343" s="4">
        <v>45776</v>
      </c>
      <c r="B343" s="5" t="s">
        <v>53</v>
      </c>
      <c r="C343" s="5" t="s">
        <v>12</v>
      </c>
      <c r="D343" s="5" t="s">
        <v>48</v>
      </c>
      <c r="E343" s="5" t="s">
        <v>14</v>
      </c>
      <c r="F343" s="5"/>
      <c r="G343" s="49"/>
      <c r="H343" s="49"/>
      <c r="I343" s="5" t="s">
        <v>28</v>
      </c>
      <c r="J343" s="5" t="s">
        <v>47</v>
      </c>
      <c r="K343" s="5"/>
    </row>
    <row r="344" spans="1:11" x14ac:dyDescent="0.3">
      <c r="A344" s="2">
        <v>45776</v>
      </c>
      <c r="B344" s="3" t="s">
        <v>11</v>
      </c>
      <c r="C344" s="3" t="s">
        <v>30</v>
      </c>
      <c r="D344" s="3" t="s">
        <v>39</v>
      </c>
      <c r="E344" s="3" t="s">
        <v>40</v>
      </c>
      <c r="F344" s="3">
        <v>138</v>
      </c>
      <c r="G344" s="48">
        <v>57.45</v>
      </c>
      <c r="H344" s="48">
        <v>7928.1</v>
      </c>
      <c r="I344" s="3" t="s">
        <v>37</v>
      </c>
      <c r="J344" s="3" t="s">
        <v>16</v>
      </c>
      <c r="K344" s="3"/>
    </row>
    <row r="345" spans="1:11" x14ac:dyDescent="0.3">
      <c r="A345" s="4">
        <v>45776</v>
      </c>
      <c r="B345" s="5" t="s">
        <v>25</v>
      </c>
      <c r="C345" s="5" t="s">
        <v>19</v>
      </c>
      <c r="D345" s="5" t="s">
        <v>59</v>
      </c>
      <c r="E345" s="5" t="s">
        <v>50</v>
      </c>
      <c r="F345" s="5">
        <v>99</v>
      </c>
      <c r="G345" s="49">
        <v>28.21</v>
      </c>
      <c r="H345" s="49">
        <v>2792.79</v>
      </c>
      <c r="I345" s="5" t="s">
        <v>23</v>
      </c>
      <c r="J345" s="5" t="s">
        <v>16</v>
      </c>
      <c r="K345" s="5" t="s">
        <v>24</v>
      </c>
    </row>
    <row r="346" spans="1:11" x14ac:dyDescent="0.3">
      <c r="A346" s="2">
        <v>45776</v>
      </c>
      <c r="B346" s="3" t="s">
        <v>18</v>
      </c>
      <c r="C346" s="3" t="s">
        <v>45</v>
      </c>
      <c r="D346" s="3" t="s">
        <v>13</v>
      </c>
      <c r="E346" s="3" t="s">
        <v>14</v>
      </c>
      <c r="F346" s="3">
        <v>71</v>
      </c>
      <c r="G346" s="48">
        <v>45.35</v>
      </c>
      <c r="H346" s="48">
        <v>3219.85</v>
      </c>
      <c r="I346" s="3" t="s">
        <v>28</v>
      </c>
      <c r="J346" s="3" t="s">
        <v>16</v>
      </c>
      <c r="K346" s="3" t="s">
        <v>33</v>
      </c>
    </row>
    <row r="347" spans="1:11" x14ac:dyDescent="0.3">
      <c r="A347" s="4">
        <v>45777</v>
      </c>
      <c r="B347" s="5" t="s">
        <v>18</v>
      </c>
      <c r="C347" s="5" t="s">
        <v>45</v>
      </c>
      <c r="D347" s="5" t="s">
        <v>31</v>
      </c>
      <c r="E347" s="5" t="s">
        <v>32</v>
      </c>
      <c r="F347" s="5">
        <v>92</v>
      </c>
      <c r="G347" s="49">
        <v>12.64</v>
      </c>
      <c r="H347" s="49">
        <v>1162.8800000000001</v>
      </c>
      <c r="I347" s="5" t="s">
        <v>41</v>
      </c>
      <c r="J347" s="5" t="s">
        <v>16</v>
      </c>
      <c r="K347" s="5" t="s">
        <v>33</v>
      </c>
    </row>
    <row r="348" spans="1:11" x14ac:dyDescent="0.3">
      <c r="A348" s="2">
        <v>45777</v>
      </c>
      <c r="B348" s="3" t="s">
        <v>25</v>
      </c>
      <c r="C348" s="3" t="s">
        <v>30</v>
      </c>
      <c r="D348" s="3" t="s">
        <v>43</v>
      </c>
      <c r="E348" s="3" t="s">
        <v>44</v>
      </c>
      <c r="F348" s="3">
        <v>92</v>
      </c>
      <c r="G348" s="48">
        <v>135.69</v>
      </c>
      <c r="H348" s="48">
        <v>12483.48</v>
      </c>
      <c r="I348" s="3" t="s">
        <v>15</v>
      </c>
      <c r="J348" s="3" t="s">
        <v>16</v>
      </c>
      <c r="K348" s="3" t="s">
        <v>42</v>
      </c>
    </row>
    <row r="349" spans="1:11" x14ac:dyDescent="0.3">
      <c r="A349" s="4">
        <v>45777</v>
      </c>
      <c r="B349" s="5" t="s">
        <v>25</v>
      </c>
      <c r="C349" s="5" t="s">
        <v>30</v>
      </c>
      <c r="D349" s="5" t="s">
        <v>49</v>
      </c>
      <c r="E349" s="5" t="s">
        <v>50</v>
      </c>
      <c r="F349" s="5">
        <v>188</v>
      </c>
      <c r="G349" s="49">
        <v>19.86</v>
      </c>
      <c r="H349" s="49">
        <v>3733.68</v>
      </c>
      <c r="I349" s="5" t="s">
        <v>23</v>
      </c>
      <c r="J349" s="5" t="s">
        <v>29</v>
      </c>
      <c r="K349" s="5"/>
    </row>
    <row r="350" spans="1:11" x14ac:dyDescent="0.3">
      <c r="A350" s="2">
        <v>45779</v>
      </c>
      <c r="B350" s="3" t="s">
        <v>25</v>
      </c>
      <c r="C350" s="3" t="s">
        <v>30</v>
      </c>
      <c r="D350" s="3" t="s">
        <v>31</v>
      </c>
      <c r="E350" s="3" t="s">
        <v>32</v>
      </c>
      <c r="F350" s="3">
        <v>141</v>
      </c>
      <c r="G350" s="48">
        <v>12.23</v>
      </c>
      <c r="H350" s="48">
        <v>1724.43</v>
      </c>
      <c r="I350" s="3" t="s">
        <v>37</v>
      </c>
      <c r="J350" s="3" t="s">
        <v>16</v>
      </c>
      <c r="K350" s="3"/>
    </row>
    <row r="351" spans="1:11" x14ac:dyDescent="0.3">
      <c r="A351" s="4">
        <v>45779</v>
      </c>
      <c r="B351" s="5" t="s">
        <v>56</v>
      </c>
      <c r="C351" s="5" t="s">
        <v>30</v>
      </c>
      <c r="D351" s="5" t="s">
        <v>59</v>
      </c>
      <c r="E351" s="5" t="s">
        <v>50</v>
      </c>
      <c r="F351" s="5">
        <v>111</v>
      </c>
      <c r="G351" s="49">
        <v>32.380000000000003</v>
      </c>
      <c r="H351" s="49">
        <v>3594.18</v>
      </c>
      <c r="I351" s="5" t="s">
        <v>37</v>
      </c>
      <c r="J351" s="5" t="s">
        <v>16</v>
      </c>
      <c r="K351" s="5" t="s">
        <v>24</v>
      </c>
    </row>
    <row r="352" spans="1:11" x14ac:dyDescent="0.3">
      <c r="A352" s="2">
        <v>45780</v>
      </c>
      <c r="B352" s="3" t="s">
        <v>25</v>
      </c>
      <c r="C352" s="3" t="s">
        <v>19</v>
      </c>
      <c r="D352" s="3" t="s">
        <v>43</v>
      </c>
      <c r="E352" s="3" t="s">
        <v>44</v>
      </c>
      <c r="F352" s="3">
        <v>185</v>
      </c>
      <c r="G352" s="48">
        <v>126.41</v>
      </c>
      <c r="H352" s="48">
        <v>23385.85</v>
      </c>
      <c r="I352" s="3" t="s">
        <v>15</v>
      </c>
      <c r="J352" s="3" t="s">
        <v>16</v>
      </c>
      <c r="K352" s="3"/>
    </row>
    <row r="353" spans="1:11" x14ac:dyDescent="0.3">
      <c r="A353" s="4">
        <v>45781</v>
      </c>
      <c r="B353" s="5" t="s">
        <v>20</v>
      </c>
      <c r="C353" s="5" t="s">
        <v>38</v>
      </c>
      <c r="D353" s="5" t="s">
        <v>31</v>
      </c>
      <c r="E353" s="5" t="s">
        <v>32</v>
      </c>
      <c r="F353" s="5">
        <v>152</v>
      </c>
      <c r="G353" s="49">
        <v>12.85</v>
      </c>
      <c r="H353" s="49">
        <v>1953.2</v>
      </c>
      <c r="I353" s="5" t="s">
        <v>41</v>
      </c>
      <c r="J353" s="5" t="s">
        <v>16</v>
      </c>
      <c r="K353" s="5" t="s">
        <v>17</v>
      </c>
    </row>
    <row r="354" spans="1:11" x14ac:dyDescent="0.3">
      <c r="A354" s="2">
        <v>45782</v>
      </c>
      <c r="B354" s="3" t="s">
        <v>34</v>
      </c>
      <c r="C354" s="3" t="s">
        <v>30</v>
      </c>
      <c r="D354" s="3" t="s">
        <v>35</v>
      </c>
      <c r="E354" s="3" t="s">
        <v>32</v>
      </c>
      <c r="F354" s="3">
        <v>111</v>
      </c>
      <c r="G354" s="48">
        <v>13</v>
      </c>
      <c r="H354" s="48">
        <v>1443</v>
      </c>
      <c r="I354" s="3" t="s">
        <v>15</v>
      </c>
      <c r="J354" s="3" t="s">
        <v>16</v>
      </c>
      <c r="K354" s="3"/>
    </row>
    <row r="355" spans="1:11" x14ac:dyDescent="0.3">
      <c r="A355" s="4">
        <v>45782</v>
      </c>
      <c r="B355" s="5" t="s">
        <v>11</v>
      </c>
      <c r="C355" s="5" t="s">
        <v>19</v>
      </c>
      <c r="D355" s="5" t="s">
        <v>21</v>
      </c>
      <c r="E355" s="5" t="s">
        <v>22</v>
      </c>
      <c r="F355" s="5">
        <v>178</v>
      </c>
      <c r="G355" s="49">
        <v>10.130000000000001</v>
      </c>
      <c r="H355" s="49">
        <v>1803.14</v>
      </c>
      <c r="I355" s="5" t="s">
        <v>37</v>
      </c>
      <c r="J355" s="5" t="s">
        <v>16</v>
      </c>
      <c r="K355" s="5" t="s">
        <v>42</v>
      </c>
    </row>
    <row r="356" spans="1:11" x14ac:dyDescent="0.3">
      <c r="A356" s="2">
        <v>45782</v>
      </c>
      <c r="B356" s="3" t="s">
        <v>11</v>
      </c>
      <c r="C356" s="3" t="s">
        <v>30</v>
      </c>
      <c r="D356" s="3" t="s">
        <v>13</v>
      </c>
      <c r="E356" s="3" t="s">
        <v>14</v>
      </c>
      <c r="F356" s="3">
        <v>167</v>
      </c>
      <c r="G356" s="48">
        <v>45.95</v>
      </c>
      <c r="H356" s="48">
        <v>7673.65</v>
      </c>
      <c r="I356" s="3" t="s">
        <v>15</v>
      </c>
      <c r="J356" s="3" t="s">
        <v>16</v>
      </c>
      <c r="K356" s="3" t="s">
        <v>33</v>
      </c>
    </row>
    <row r="357" spans="1:11" x14ac:dyDescent="0.3">
      <c r="A357" s="4">
        <v>45782</v>
      </c>
      <c r="B357" s="5" t="s">
        <v>20</v>
      </c>
      <c r="C357" s="5" t="s">
        <v>19</v>
      </c>
      <c r="D357" s="5" t="s">
        <v>52</v>
      </c>
      <c r="E357" s="5" t="s">
        <v>27</v>
      </c>
      <c r="F357" s="5">
        <v>175</v>
      </c>
      <c r="G357" s="49">
        <v>50.35</v>
      </c>
      <c r="H357" s="49">
        <v>8811.25</v>
      </c>
      <c r="I357" s="5" t="s">
        <v>28</v>
      </c>
      <c r="J357" s="5" t="s">
        <v>29</v>
      </c>
      <c r="K357" s="5"/>
    </row>
    <row r="358" spans="1:11" x14ac:dyDescent="0.3">
      <c r="A358" s="2">
        <v>45782</v>
      </c>
      <c r="B358" s="3" t="s">
        <v>53</v>
      </c>
      <c r="C358" s="3" t="s">
        <v>38</v>
      </c>
      <c r="D358" s="3" t="s">
        <v>35</v>
      </c>
      <c r="E358" s="3" t="s">
        <v>32</v>
      </c>
      <c r="F358" s="3">
        <v>138</v>
      </c>
      <c r="G358" s="48">
        <v>14.14</v>
      </c>
      <c r="H358" s="48">
        <v>1951.32</v>
      </c>
      <c r="I358" s="3" t="s">
        <v>15</v>
      </c>
      <c r="J358" s="3" t="s">
        <v>70</v>
      </c>
      <c r="K358" s="3"/>
    </row>
    <row r="359" spans="1:11" x14ac:dyDescent="0.3">
      <c r="A359" s="4">
        <v>45783</v>
      </c>
      <c r="B359" s="5" t="s">
        <v>53</v>
      </c>
      <c r="C359" s="5" t="s">
        <v>12</v>
      </c>
      <c r="D359" s="5" t="s">
        <v>48</v>
      </c>
      <c r="E359" s="5" t="s">
        <v>14</v>
      </c>
      <c r="F359" s="5">
        <v>172</v>
      </c>
      <c r="G359" s="49">
        <v>84.45</v>
      </c>
      <c r="H359" s="49">
        <v>14525.4</v>
      </c>
      <c r="I359" s="5" t="s">
        <v>28</v>
      </c>
      <c r="J359" s="5" t="s">
        <v>47</v>
      </c>
      <c r="K359" s="5" t="s">
        <v>46</v>
      </c>
    </row>
    <row r="360" spans="1:11" x14ac:dyDescent="0.3">
      <c r="A360" s="2">
        <v>45783</v>
      </c>
      <c r="B360" s="3" t="s">
        <v>20</v>
      </c>
      <c r="C360" s="3" t="s">
        <v>19</v>
      </c>
      <c r="D360" s="3" t="s">
        <v>52</v>
      </c>
      <c r="E360" s="3" t="s">
        <v>27</v>
      </c>
      <c r="F360" s="3">
        <v>106</v>
      </c>
      <c r="G360" s="48">
        <v>49.38</v>
      </c>
      <c r="H360" s="48">
        <v>5234.28</v>
      </c>
      <c r="I360" s="3" t="s">
        <v>15</v>
      </c>
      <c r="J360" s="3" t="s">
        <v>47</v>
      </c>
      <c r="K360" s="3"/>
    </row>
    <row r="361" spans="1:11" x14ac:dyDescent="0.3">
      <c r="A361" s="4">
        <v>45783</v>
      </c>
      <c r="B361" s="5" t="s">
        <v>36</v>
      </c>
      <c r="C361" s="5" t="s">
        <v>38</v>
      </c>
      <c r="D361" s="5" t="s">
        <v>43</v>
      </c>
      <c r="E361" s="5" t="s">
        <v>44</v>
      </c>
      <c r="F361" s="5"/>
      <c r="G361" s="49"/>
      <c r="H361" s="49"/>
      <c r="I361" s="5" t="s">
        <v>15</v>
      </c>
      <c r="J361" s="5" t="s">
        <v>16</v>
      </c>
      <c r="K361" s="5"/>
    </row>
    <row r="362" spans="1:11" x14ac:dyDescent="0.3">
      <c r="A362" s="2">
        <v>45784</v>
      </c>
      <c r="B362" s="3" t="s">
        <v>18</v>
      </c>
      <c r="C362" s="3" t="s">
        <v>19</v>
      </c>
      <c r="D362" s="3" t="s">
        <v>52</v>
      </c>
      <c r="E362" s="3" t="s">
        <v>27</v>
      </c>
      <c r="F362" s="3">
        <v>106</v>
      </c>
      <c r="G362" s="48">
        <v>47.84</v>
      </c>
      <c r="H362" s="48">
        <v>5071.04</v>
      </c>
      <c r="I362" s="3" t="s">
        <v>41</v>
      </c>
      <c r="J362" s="3" t="s">
        <v>16</v>
      </c>
      <c r="K362" s="3"/>
    </row>
    <row r="363" spans="1:11" x14ac:dyDescent="0.3">
      <c r="A363" s="4">
        <v>45784</v>
      </c>
      <c r="B363" s="5" t="s">
        <v>18</v>
      </c>
      <c r="C363" s="5" t="s">
        <v>38</v>
      </c>
      <c r="D363" s="5" t="s">
        <v>13</v>
      </c>
      <c r="E363" s="5" t="s">
        <v>14</v>
      </c>
      <c r="F363" s="5">
        <v>62</v>
      </c>
      <c r="G363" s="49">
        <v>48.57</v>
      </c>
      <c r="H363" s="49">
        <v>3011.34</v>
      </c>
      <c r="I363" s="5" t="s">
        <v>41</v>
      </c>
      <c r="J363" s="5" t="s">
        <v>29</v>
      </c>
      <c r="K363" s="5"/>
    </row>
    <row r="364" spans="1:11" x14ac:dyDescent="0.3">
      <c r="A364" s="2">
        <v>45785</v>
      </c>
      <c r="B364" s="3" t="s">
        <v>34</v>
      </c>
      <c r="C364" s="3" t="s">
        <v>38</v>
      </c>
      <c r="D364" s="3" t="s">
        <v>21</v>
      </c>
      <c r="E364" s="3" t="s">
        <v>22</v>
      </c>
      <c r="F364" s="3">
        <v>100</v>
      </c>
      <c r="G364" s="48">
        <v>9.5</v>
      </c>
      <c r="H364" s="48">
        <v>950</v>
      </c>
      <c r="I364" s="3" t="s">
        <v>41</v>
      </c>
      <c r="J364" s="3" t="s">
        <v>16</v>
      </c>
      <c r="K364" s="3"/>
    </row>
    <row r="365" spans="1:11" x14ac:dyDescent="0.3">
      <c r="A365" s="4">
        <v>45785</v>
      </c>
      <c r="B365" s="5" t="s">
        <v>18</v>
      </c>
      <c r="C365" s="5" t="s">
        <v>38</v>
      </c>
      <c r="D365" s="5" t="s">
        <v>43</v>
      </c>
      <c r="E365" s="5" t="s">
        <v>44</v>
      </c>
      <c r="F365" s="5">
        <v>107</v>
      </c>
      <c r="G365" s="49">
        <v>124.39</v>
      </c>
      <c r="H365" s="49">
        <v>13309.73</v>
      </c>
      <c r="I365" s="5" t="s">
        <v>28</v>
      </c>
      <c r="J365" s="5" t="s">
        <v>16</v>
      </c>
      <c r="K365" s="5"/>
    </row>
    <row r="366" spans="1:11" x14ac:dyDescent="0.3">
      <c r="A366" s="2">
        <v>45785</v>
      </c>
      <c r="B366" s="3" t="s">
        <v>56</v>
      </c>
      <c r="C366" s="3" t="s">
        <v>30</v>
      </c>
      <c r="D366" s="3" t="s">
        <v>13</v>
      </c>
      <c r="E366" s="3" t="s">
        <v>14</v>
      </c>
      <c r="F366" s="3">
        <v>139</v>
      </c>
      <c r="G366" s="48">
        <v>43.13</v>
      </c>
      <c r="H366" s="48">
        <v>5995.07</v>
      </c>
      <c r="I366" s="3" t="s">
        <v>41</v>
      </c>
      <c r="J366" s="3" t="s">
        <v>67</v>
      </c>
      <c r="K366" s="3" t="s">
        <v>17</v>
      </c>
    </row>
    <row r="367" spans="1:11" x14ac:dyDescent="0.3">
      <c r="A367" s="4">
        <v>45785</v>
      </c>
      <c r="B367" s="5" t="s">
        <v>53</v>
      </c>
      <c r="C367" s="5" t="s">
        <v>45</v>
      </c>
      <c r="D367" s="5" t="s">
        <v>60</v>
      </c>
      <c r="E367" s="5" t="s">
        <v>44</v>
      </c>
      <c r="F367" s="5">
        <v>102</v>
      </c>
      <c r="G367" s="49">
        <v>112.93</v>
      </c>
      <c r="H367" s="49">
        <v>11518.86</v>
      </c>
      <c r="I367" s="5" t="s">
        <v>15</v>
      </c>
      <c r="J367" s="5" t="s">
        <v>16</v>
      </c>
      <c r="K367" s="5" t="s">
        <v>17</v>
      </c>
    </row>
    <row r="368" spans="1:11" x14ac:dyDescent="0.3">
      <c r="A368" s="2">
        <v>45786</v>
      </c>
      <c r="B368" s="3" t="s">
        <v>34</v>
      </c>
      <c r="C368" s="3" t="s">
        <v>38</v>
      </c>
      <c r="D368" s="3" t="s">
        <v>31</v>
      </c>
      <c r="E368" s="3" t="s">
        <v>32</v>
      </c>
      <c r="F368" s="3">
        <v>133</v>
      </c>
      <c r="G368" s="48">
        <v>11.61</v>
      </c>
      <c r="H368" s="48">
        <v>1544.13</v>
      </c>
      <c r="I368" s="3" t="s">
        <v>28</v>
      </c>
      <c r="J368" s="3" t="s">
        <v>29</v>
      </c>
      <c r="K368" s="3"/>
    </row>
    <row r="369" spans="1:11" x14ac:dyDescent="0.3">
      <c r="A369" s="4">
        <v>45786</v>
      </c>
      <c r="B369" s="5" t="s">
        <v>56</v>
      </c>
      <c r="C369" s="5" t="s">
        <v>38</v>
      </c>
      <c r="D369" s="5" t="s">
        <v>35</v>
      </c>
      <c r="E369" s="5" t="s">
        <v>32</v>
      </c>
      <c r="F369" s="5">
        <v>142</v>
      </c>
      <c r="G369" s="49">
        <v>15.02</v>
      </c>
      <c r="H369" s="49">
        <v>2132.84</v>
      </c>
      <c r="I369" s="5" t="s">
        <v>23</v>
      </c>
      <c r="J369" s="5" t="s">
        <v>16</v>
      </c>
      <c r="K369" s="5"/>
    </row>
    <row r="370" spans="1:11" x14ac:dyDescent="0.3">
      <c r="A370" s="2">
        <v>45786</v>
      </c>
      <c r="B370" s="3" t="s">
        <v>25</v>
      </c>
      <c r="C370" s="3" t="s">
        <v>38</v>
      </c>
      <c r="D370" s="3" t="s">
        <v>48</v>
      </c>
      <c r="E370" s="3" t="s">
        <v>14</v>
      </c>
      <c r="F370" s="3">
        <v>133</v>
      </c>
      <c r="G370" s="48">
        <v>85.32</v>
      </c>
      <c r="H370" s="48">
        <v>11347.56</v>
      </c>
      <c r="I370" s="3" t="s">
        <v>37</v>
      </c>
      <c r="J370" s="3" t="s">
        <v>16</v>
      </c>
      <c r="K370" s="3"/>
    </row>
    <row r="371" spans="1:11" x14ac:dyDescent="0.3">
      <c r="A371" s="4">
        <v>45786</v>
      </c>
      <c r="B371" s="5" t="s">
        <v>34</v>
      </c>
      <c r="C371" s="5" t="s">
        <v>12</v>
      </c>
      <c r="D371" s="5" t="s">
        <v>52</v>
      </c>
      <c r="E371" s="5" t="s">
        <v>27</v>
      </c>
      <c r="F371" s="5">
        <v>157</v>
      </c>
      <c r="G371" s="49">
        <v>51.67</v>
      </c>
      <c r="H371" s="49">
        <v>8112.19</v>
      </c>
      <c r="I371" s="5" t="s">
        <v>37</v>
      </c>
      <c r="J371" s="5" t="s">
        <v>16</v>
      </c>
      <c r="K371" s="5"/>
    </row>
    <row r="372" spans="1:11" x14ac:dyDescent="0.3">
      <c r="A372" s="2">
        <v>45787</v>
      </c>
      <c r="B372" s="3" t="s">
        <v>34</v>
      </c>
      <c r="C372" s="3" t="s">
        <v>30</v>
      </c>
      <c r="D372" s="3" t="s">
        <v>31</v>
      </c>
      <c r="E372" s="3" t="s">
        <v>32</v>
      </c>
      <c r="F372" s="3">
        <v>195</v>
      </c>
      <c r="G372" s="48">
        <v>12.17</v>
      </c>
      <c r="H372" s="48">
        <v>2373.15</v>
      </c>
      <c r="I372" s="3" t="s">
        <v>23</v>
      </c>
      <c r="J372" s="3" t="s">
        <v>16</v>
      </c>
      <c r="K372" s="3" t="s">
        <v>42</v>
      </c>
    </row>
    <row r="373" spans="1:11" x14ac:dyDescent="0.3">
      <c r="A373" s="4">
        <v>45787</v>
      </c>
      <c r="B373" s="5" t="s">
        <v>11</v>
      </c>
      <c r="C373" s="5" t="s">
        <v>12</v>
      </c>
      <c r="D373" s="5" t="s">
        <v>58</v>
      </c>
      <c r="E373" s="5" t="s">
        <v>22</v>
      </c>
      <c r="F373" s="5">
        <v>135</v>
      </c>
      <c r="G373" s="49">
        <v>26.36</v>
      </c>
      <c r="H373" s="49">
        <v>3558.6</v>
      </c>
      <c r="I373" s="5" t="s">
        <v>41</v>
      </c>
      <c r="J373" s="5" t="s">
        <v>16</v>
      </c>
      <c r="K373" s="5"/>
    </row>
    <row r="374" spans="1:11" x14ac:dyDescent="0.3">
      <c r="A374" s="2">
        <v>45787</v>
      </c>
      <c r="B374" s="3" t="s">
        <v>11</v>
      </c>
      <c r="C374" s="3" t="s">
        <v>12</v>
      </c>
      <c r="D374" s="3" t="s">
        <v>49</v>
      </c>
      <c r="E374" s="3" t="s">
        <v>50</v>
      </c>
      <c r="F374" s="3">
        <v>52</v>
      </c>
      <c r="G374" s="48">
        <v>19.97</v>
      </c>
      <c r="H374" s="48">
        <v>1038.44</v>
      </c>
      <c r="I374" s="3" t="s">
        <v>28</v>
      </c>
      <c r="J374" s="3" t="s">
        <v>16</v>
      </c>
      <c r="K374" s="3" t="s">
        <v>33</v>
      </c>
    </row>
    <row r="375" spans="1:11" x14ac:dyDescent="0.3">
      <c r="A375" s="4">
        <v>45787</v>
      </c>
      <c r="B375" s="5" t="s">
        <v>25</v>
      </c>
      <c r="C375" s="5" t="s">
        <v>12</v>
      </c>
      <c r="D375" s="5" t="s">
        <v>60</v>
      </c>
      <c r="E375" s="5" t="s">
        <v>44</v>
      </c>
      <c r="F375" s="5">
        <v>145</v>
      </c>
      <c r="G375" s="49">
        <v>121.02</v>
      </c>
      <c r="H375" s="49">
        <v>17547.900000000001</v>
      </c>
      <c r="I375" s="5" t="s">
        <v>37</v>
      </c>
      <c r="J375" s="5" t="s">
        <v>47</v>
      </c>
      <c r="K375" s="5"/>
    </row>
    <row r="376" spans="1:11" x14ac:dyDescent="0.3">
      <c r="A376" s="2">
        <v>45788</v>
      </c>
      <c r="B376" s="3" t="s">
        <v>53</v>
      </c>
      <c r="C376" s="3" t="s">
        <v>45</v>
      </c>
      <c r="D376" s="3" t="s">
        <v>52</v>
      </c>
      <c r="E376" s="3" t="s">
        <v>27</v>
      </c>
      <c r="F376" s="3">
        <v>59</v>
      </c>
      <c r="G376" s="48">
        <v>46.84</v>
      </c>
      <c r="H376" s="48">
        <v>2763.56</v>
      </c>
      <c r="I376" s="3" t="s">
        <v>37</v>
      </c>
      <c r="J376" s="3" t="s">
        <v>16</v>
      </c>
      <c r="K376" s="3"/>
    </row>
    <row r="377" spans="1:11" x14ac:dyDescent="0.3">
      <c r="A377" s="4">
        <v>45788</v>
      </c>
      <c r="B377" s="5" t="s">
        <v>11</v>
      </c>
      <c r="C377" s="5" t="s">
        <v>12</v>
      </c>
      <c r="D377" s="5" t="s">
        <v>60</v>
      </c>
      <c r="E377" s="5" t="s">
        <v>44</v>
      </c>
      <c r="F377" s="5">
        <v>85</v>
      </c>
      <c r="G377" s="49">
        <v>114.1</v>
      </c>
      <c r="H377" s="49">
        <v>9698.5</v>
      </c>
      <c r="I377" s="5" t="s">
        <v>15</v>
      </c>
      <c r="J377" s="5" t="s">
        <v>16</v>
      </c>
      <c r="K377" s="5" t="s">
        <v>46</v>
      </c>
    </row>
    <row r="378" spans="1:11" x14ac:dyDescent="0.3">
      <c r="A378" s="2">
        <v>45789</v>
      </c>
      <c r="B378" s="3" t="s">
        <v>18</v>
      </c>
      <c r="C378" s="3" t="s">
        <v>45</v>
      </c>
      <c r="D378" s="3" t="s">
        <v>26</v>
      </c>
      <c r="E378" s="3" t="s">
        <v>27</v>
      </c>
      <c r="F378" s="3"/>
      <c r="G378" s="48">
        <v>56.29</v>
      </c>
      <c r="H378" s="48"/>
      <c r="I378" s="3" t="s">
        <v>41</v>
      </c>
      <c r="J378" s="3" t="s">
        <v>16</v>
      </c>
      <c r="K378" s="3"/>
    </row>
    <row r="379" spans="1:11" x14ac:dyDescent="0.3">
      <c r="A379" s="4">
        <v>45789</v>
      </c>
      <c r="B379" s="5" t="s">
        <v>25</v>
      </c>
      <c r="C379" s="5" t="s">
        <v>19</v>
      </c>
      <c r="D379" s="5" t="s">
        <v>21</v>
      </c>
      <c r="E379" s="5" t="s">
        <v>22</v>
      </c>
      <c r="F379" s="5">
        <v>91</v>
      </c>
      <c r="G379" s="49">
        <v>10.78</v>
      </c>
      <c r="H379" s="49">
        <v>980.98</v>
      </c>
      <c r="I379" s="5" t="s">
        <v>23</v>
      </c>
      <c r="J379" s="5" t="s">
        <v>16</v>
      </c>
      <c r="K379" s="5" t="s">
        <v>17</v>
      </c>
    </row>
    <row r="380" spans="1:11" x14ac:dyDescent="0.3">
      <c r="A380" s="2">
        <v>45790</v>
      </c>
      <c r="B380" s="3" t="s">
        <v>11</v>
      </c>
      <c r="C380" s="3" t="s">
        <v>30</v>
      </c>
      <c r="D380" s="3" t="s">
        <v>35</v>
      </c>
      <c r="E380" s="3" t="s">
        <v>32</v>
      </c>
      <c r="F380" s="3">
        <v>67</v>
      </c>
      <c r="G380" s="48">
        <v>12.93</v>
      </c>
      <c r="H380" s="48">
        <v>866.31</v>
      </c>
      <c r="I380" s="3" t="s">
        <v>15</v>
      </c>
      <c r="J380" s="3" t="s">
        <v>16</v>
      </c>
      <c r="K380" s="3"/>
    </row>
    <row r="381" spans="1:11" x14ac:dyDescent="0.3">
      <c r="A381" s="4">
        <v>45790</v>
      </c>
      <c r="B381" s="5" t="s">
        <v>20</v>
      </c>
      <c r="C381" s="5" t="s">
        <v>45</v>
      </c>
      <c r="D381" s="5" t="s">
        <v>48</v>
      </c>
      <c r="E381" s="5" t="s">
        <v>14</v>
      </c>
      <c r="F381" s="5">
        <v>179</v>
      </c>
      <c r="G381" s="49">
        <v>83.32</v>
      </c>
      <c r="H381" s="49">
        <v>14914.28</v>
      </c>
      <c r="I381" s="5" t="s">
        <v>23</v>
      </c>
      <c r="J381" s="5" t="s">
        <v>47</v>
      </c>
      <c r="K381" s="5" t="s">
        <v>24</v>
      </c>
    </row>
    <row r="382" spans="1:11" x14ac:dyDescent="0.3">
      <c r="A382" s="2">
        <v>45790</v>
      </c>
      <c r="B382" s="3" t="s">
        <v>56</v>
      </c>
      <c r="C382" s="3" t="s">
        <v>38</v>
      </c>
      <c r="D382" s="3" t="s">
        <v>31</v>
      </c>
      <c r="E382" s="3" t="s">
        <v>32</v>
      </c>
      <c r="F382" s="3">
        <v>122</v>
      </c>
      <c r="G382" s="48">
        <v>11.62</v>
      </c>
      <c r="H382" s="48">
        <v>1417.64</v>
      </c>
      <c r="I382" s="3" t="s">
        <v>37</v>
      </c>
      <c r="J382" s="3" t="s">
        <v>29</v>
      </c>
      <c r="K382" s="3" t="s">
        <v>46</v>
      </c>
    </row>
    <row r="383" spans="1:11" x14ac:dyDescent="0.3">
      <c r="A383" s="4">
        <v>45791</v>
      </c>
      <c r="B383" s="5" t="s">
        <v>53</v>
      </c>
      <c r="C383" s="5" t="s">
        <v>12</v>
      </c>
      <c r="D383" s="5" t="s">
        <v>58</v>
      </c>
      <c r="E383" s="5" t="s">
        <v>22</v>
      </c>
      <c r="F383" s="5">
        <v>196</v>
      </c>
      <c r="G383" s="49">
        <v>24.38</v>
      </c>
      <c r="H383" s="49">
        <v>4778.4799999999996</v>
      </c>
      <c r="I383" s="5" t="s">
        <v>37</v>
      </c>
      <c r="J383" s="5" t="s">
        <v>47</v>
      </c>
      <c r="K383" s="5"/>
    </row>
    <row r="384" spans="1:11" x14ac:dyDescent="0.3">
      <c r="A384" s="2">
        <v>45791</v>
      </c>
      <c r="B384" s="3" t="s">
        <v>53</v>
      </c>
      <c r="C384" s="3" t="s">
        <v>45</v>
      </c>
      <c r="D384" s="3" t="s">
        <v>60</v>
      </c>
      <c r="E384" s="3" t="s">
        <v>44</v>
      </c>
      <c r="F384" s="3">
        <v>106</v>
      </c>
      <c r="G384" s="48">
        <v>123.61</v>
      </c>
      <c r="H384" s="48">
        <v>13102.66</v>
      </c>
      <c r="I384" s="3" t="s">
        <v>23</v>
      </c>
      <c r="J384" s="3" t="s">
        <v>16</v>
      </c>
      <c r="K384" s="3" t="s">
        <v>24</v>
      </c>
    </row>
    <row r="385" spans="1:11" x14ac:dyDescent="0.3">
      <c r="A385" s="4">
        <v>45791</v>
      </c>
      <c r="B385" s="5" t="s">
        <v>11</v>
      </c>
      <c r="C385" s="5" t="s">
        <v>12</v>
      </c>
      <c r="D385" s="5" t="s">
        <v>43</v>
      </c>
      <c r="E385" s="5" t="s">
        <v>44</v>
      </c>
      <c r="F385" s="5">
        <v>57</v>
      </c>
      <c r="G385" s="49">
        <v>122.2</v>
      </c>
      <c r="H385" s="49">
        <v>6965.4</v>
      </c>
      <c r="I385" s="5" t="s">
        <v>15</v>
      </c>
      <c r="J385" s="5" t="s">
        <v>16</v>
      </c>
      <c r="K385" s="5"/>
    </row>
    <row r="386" spans="1:11" x14ac:dyDescent="0.3">
      <c r="A386" s="2">
        <v>45791</v>
      </c>
      <c r="B386" s="3" t="s">
        <v>56</v>
      </c>
      <c r="C386" s="3" t="s">
        <v>19</v>
      </c>
      <c r="D386" s="3" t="s">
        <v>13</v>
      </c>
      <c r="E386" s="3" t="s">
        <v>14</v>
      </c>
      <c r="F386" s="3">
        <v>184</v>
      </c>
      <c r="G386" s="48">
        <v>42.35</v>
      </c>
      <c r="H386" s="48">
        <v>7792.4</v>
      </c>
      <c r="I386" s="3" t="s">
        <v>23</v>
      </c>
      <c r="J386" s="3" t="s">
        <v>16</v>
      </c>
      <c r="K386" s="3"/>
    </row>
    <row r="387" spans="1:11" x14ac:dyDescent="0.3">
      <c r="A387" s="4">
        <v>45792</v>
      </c>
      <c r="B387" s="5" t="s">
        <v>18</v>
      </c>
      <c r="C387" s="5" t="s">
        <v>12</v>
      </c>
      <c r="D387" s="5" t="s">
        <v>49</v>
      </c>
      <c r="E387" s="5" t="s">
        <v>50</v>
      </c>
      <c r="F387" s="5">
        <v>157</v>
      </c>
      <c r="G387" s="49">
        <v>21.51</v>
      </c>
      <c r="H387" s="49">
        <v>3377.07</v>
      </c>
      <c r="I387" s="5" t="s">
        <v>23</v>
      </c>
      <c r="J387" s="5" t="s">
        <v>47</v>
      </c>
      <c r="K387" s="5" t="s">
        <v>46</v>
      </c>
    </row>
    <row r="388" spans="1:11" x14ac:dyDescent="0.3">
      <c r="A388" s="2">
        <v>45792</v>
      </c>
      <c r="B388" s="3" t="s">
        <v>18</v>
      </c>
      <c r="C388" s="3" t="s">
        <v>45</v>
      </c>
      <c r="D388" s="3" t="s">
        <v>21</v>
      </c>
      <c r="E388" s="3" t="s">
        <v>22</v>
      </c>
      <c r="F388" s="3">
        <v>50</v>
      </c>
      <c r="G388" s="48">
        <v>9.81</v>
      </c>
      <c r="H388" s="48">
        <v>490.5</v>
      </c>
      <c r="I388" s="3" t="s">
        <v>37</v>
      </c>
      <c r="J388" s="3" t="s">
        <v>47</v>
      </c>
      <c r="K388" s="3"/>
    </row>
    <row r="389" spans="1:11" x14ac:dyDescent="0.3">
      <c r="A389" s="4">
        <v>45792</v>
      </c>
      <c r="B389" s="5" t="s">
        <v>34</v>
      </c>
      <c r="C389" s="5" t="s">
        <v>12</v>
      </c>
      <c r="D389" s="5" t="s">
        <v>52</v>
      </c>
      <c r="E389" s="5" t="s">
        <v>27</v>
      </c>
      <c r="F389" s="5">
        <v>30</v>
      </c>
      <c r="G389" s="49">
        <v>48.85</v>
      </c>
      <c r="H389" s="49">
        <v>1465.5</v>
      </c>
      <c r="I389" s="5" t="s">
        <v>23</v>
      </c>
      <c r="J389" s="5" t="s">
        <v>16</v>
      </c>
      <c r="K389" s="5" t="s">
        <v>24</v>
      </c>
    </row>
    <row r="390" spans="1:11" x14ac:dyDescent="0.3">
      <c r="A390" s="2">
        <v>45793</v>
      </c>
      <c r="B390" s="3" t="s">
        <v>20</v>
      </c>
      <c r="C390" s="3" t="s">
        <v>12</v>
      </c>
      <c r="D390" s="3" t="s">
        <v>13</v>
      </c>
      <c r="E390" s="3" t="s">
        <v>14</v>
      </c>
      <c r="F390" s="3">
        <v>126</v>
      </c>
      <c r="G390" s="48">
        <v>44.06</v>
      </c>
      <c r="H390" s="48">
        <v>5551.56</v>
      </c>
      <c r="I390" s="3" t="s">
        <v>37</v>
      </c>
      <c r="J390" s="3" t="s">
        <v>47</v>
      </c>
      <c r="K390" s="3"/>
    </row>
    <row r="391" spans="1:11" x14ac:dyDescent="0.3">
      <c r="A391" s="4">
        <v>45794</v>
      </c>
      <c r="B391" s="5" t="s">
        <v>56</v>
      </c>
      <c r="C391" s="5" t="s">
        <v>38</v>
      </c>
      <c r="D391" s="5" t="s">
        <v>21</v>
      </c>
      <c r="E391" s="5" t="s">
        <v>22</v>
      </c>
      <c r="F391" s="5">
        <v>109</v>
      </c>
      <c r="G391" s="49">
        <v>10.54</v>
      </c>
      <c r="H391" s="49">
        <v>1148.8599999999999</v>
      </c>
      <c r="I391" s="5" t="s">
        <v>23</v>
      </c>
      <c r="J391" s="5" t="s">
        <v>47</v>
      </c>
      <c r="K391" s="5" t="s">
        <v>42</v>
      </c>
    </row>
    <row r="392" spans="1:11" x14ac:dyDescent="0.3">
      <c r="A392" s="2">
        <v>45795</v>
      </c>
      <c r="B392" s="3" t="s">
        <v>53</v>
      </c>
      <c r="C392" s="3" t="s">
        <v>12</v>
      </c>
      <c r="D392" s="3" t="s">
        <v>54</v>
      </c>
      <c r="E392" s="3" t="s">
        <v>44</v>
      </c>
      <c r="F392" s="3">
        <v>151</v>
      </c>
      <c r="G392" s="48">
        <v>112.26</v>
      </c>
      <c r="H392" s="48">
        <v>16951.259999999998</v>
      </c>
      <c r="I392" s="3" t="s">
        <v>41</v>
      </c>
      <c r="J392" s="3" t="s">
        <v>16</v>
      </c>
      <c r="K392" s="3"/>
    </row>
    <row r="393" spans="1:11" x14ac:dyDescent="0.3">
      <c r="A393" s="4">
        <v>45795</v>
      </c>
      <c r="B393" s="5" t="s">
        <v>20</v>
      </c>
      <c r="C393" s="5" t="s">
        <v>45</v>
      </c>
      <c r="D393" s="5" t="s">
        <v>31</v>
      </c>
      <c r="E393" s="5" t="s">
        <v>32</v>
      </c>
      <c r="F393" s="5">
        <v>43</v>
      </c>
      <c r="G393" s="49">
        <v>12.73</v>
      </c>
      <c r="H393" s="49">
        <v>547.39</v>
      </c>
      <c r="I393" s="5" t="s">
        <v>23</v>
      </c>
      <c r="J393" s="5" t="s">
        <v>16</v>
      </c>
      <c r="K393" s="5" t="s">
        <v>24</v>
      </c>
    </row>
    <row r="394" spans="1:11" x14ac:dyDescent="0.3">
      <c r="A394" s="2">
        <v>45795</v>
      </c>
      <c r="B394" s="3" t="s">
        <v>56</v>
      </c>
      <c r="C394" s="3" t="s">
        <v>30</v>
      </c>
      <c r="D394" s="3" t="s">
        <v>13</v>
      </c>
      <c r="E394" s="3" t="s">
        <v>14</v>
      </c>
      <c r="F394" s="3">
        <v>44</v>
      </c>
      <c r="G394" s="48">
        <v>46.64</v>
      </c>
      <c r="H394" s="48">
        <v>2052.16</v>
      </c>
      <c r="I394" s="3" t="s">
        <v>23</v>
      </c>
      <c r="J394" s="3" t="s">
        <v>29</v>
      </c>
      <c r="K394" s="3" t="s">
        <v>42</v>
      </c>
    </row>
    <row r="395" spans="1:11" x14ac:dyDescent="0.3">
      <c r="A395" s="4">
        <v>45796</v>
      </c>
      <c r="B395" s="5" t="s">
        <v>56</v>
      </c>
      <c r="C395" s="5" t="s">
        <v>30</v>
      </c>
      <c r="D395" s="5" t="s">
        <v>26</v>
      </c>
      <c r="E395" s="5" t="s">
        <v>27</v>
      </c>
      <c r="F395" s="5">
        <v>18</v>
      </c>
      <c r="G395" s="49">
        <v>52.18</v>
      </c>
      <c r="H395" s="49">
        <v>939.24</v>
      </c>
      <c r="I395" s="5" t="s">
        <v>28</v>
      </c>
      <c r="J395" s="5" t="s">
        <v>29</v>
      </c>
      <c r="K395" s="5" t="s">
        <v>17</v>
      </c>
    </row>
    <row r="396" spans="1:11" x14ac:dyDescent="0.3">
      <c r="A396" s="2">
        <v>45796</v>
      </c>
      <c r="B396" s="3" t="s">
        <v>20</v>
      </c>
      <c r="C396" s="3" t="s">
        <v>30</v>
      </c>
      <c r="D396" s="3" t="s">
        <v>43</v>
      </c>
      <c r="E396" s="3" t="s">
        <v>44</v>
      </c>
      <c r="F396" s="3">
        <v>138</v>
      </c>
      <c r="G396" s="48">
        <v>124.47</v>
      </c>
      <c r="H396" s="48">
        <v>17176.86</v>
      </c>
      <c r="I396" s="3" t="s">
        <v>37</v>
      </c>
      <c r="J396" s="3" t="s">
        <v>47</v>
      </c>
      <c r="K396" s="3" t="s">
        <v>42</v>
      </c>
    </row>
    <row r="397" spans="1:11" x14ac:dyDescent="0.3">
      <c r="A397" s="4">
        <v>45796</v>
      </c>
      <c r="B397" s="5" t="s">
        <v>53</v>
      </c>
      <c r="C397" s="5" t="s">
        <v>12</v>
      </c>
      <c r="D397" s="5" t="s">
        <v>39</v>
      </c>
      <c r="E397" s="5" t="s">
        <v>40</v>
      </c>
      <c r="F397" s="5">
        <v>158</v>
      </c>
      <c r="G397" s="49">
        <v>56.79</v>
      </c>
      <c r="H397" s="49">
        <v>8972.82</v>
      </c>
      <c r="I397" s="5" t="s">
        <v>41</v>
      </c>
      <c r="J397" s="5" t="s">
        <v>16</v>
      </c>
      <c r="K397" s="5" t="s">
        <v>33</v>
      </c>
    </row>
    <row r="398" spans="1:11" x14ac:dyDescent="0.3">
      <c r="A398" s="2">
        <v>45797</v>
      </c>
      <c r="B398" s="3" t="s">
        <v>18</v>
      </c>
      <c r="C398" s="3" t="s">
        <v>12</v>
      </c>
      <c r="D398" s="3" t="s">
        <v>48</v>
      </c>
      <c r="E398" s="3" t="s">
        <v>14</v>
      </c>
      <c r="F398" s="3">
        <v>58</v>
      </c>
      <c r="G398" s="48">
        <v>81.45</v>
      </c>
      <c r="H398" s="48">
        <v>4724.1000000000004</v>
      </c>
      <c r="I398" s="3" t="s">
        <v>28</v>
      </c>
      <c r="J398" s="3" t="s">
        <v>29</v>
      </c>
      <c r="K398" s="3" t="s">
        <v>33</v>
      </c>
    </row>
    <row r="399" spans="1:11" x14ac:dyDescent="0.3">
      <c r="A399" s="4">
        <v>45798</v>
      </c>
      <c r="B399" s="5" t="s">
        <v>18</v>
      </c>
      <c r="C399" s="5" t="s">
        <v>30</v>
      </c>
      <c r="D399" s="5" t="s">
        <v>59</v>
      </c>
      <c r="E399" s="5" t="s">
        <v>50</v>
      </c>
      <c r="F399" s="5">
        <v>83</v>
      </c>
      <c r="G399" s="49">
        <v>28.18</v>
      </c>
      <c r="H399" s="49">
        <v>2338.94</v>
      </c>
      <c r="I399" s="5" t="s">
        <v>23</v>
      </c>
      <c r="J399" s="5" t="s">
        <v>47</v>
      </c>
      <c r="K399" s="5" t="s">
        <v>17</v>
      </c>
    </row>
    <row r="400" spans="1:11" x14ac:dyDescent="0.3">
      <c r="A400" s="2">
        <v>45798</v>
      </c>
      <c r="B400" s="3" t="s">
        <v>11</v>
      </c>
      <c r="C400" s="3" t="s">
        <v>38</v>
      </c>
      <c r="D400" s="3" t="s">
        <v>39</v>
      </c>
      <c r="E400" s="3" t="s">
        <v>40</v>
      </c>
      <c r="F400" s="3">
        <v>148</v>
      </c>
      <c r="G400" s="48">
        <v>55.86</v>
      </c>
      <c r="H400" s="48">
        <v>8267.2800000000007</v>
      </c>
      <c r="I400" s="3" t="s">
        <v>41</v>
      </c>
      <c r="J400" s="3" t="s">
        <v>47</v>
      </c>
      <c r="K400" s="3" t="s">
        <v>46</v>
      </c>
    </row>
    <row r="401" spans="1:11" x14ac:dyDescent="0.3">
      <c r="A401" s="4">
        <v>45798</v>
      </c>
      <c r="B401" s="5" t="s">
        <v>36</v>
      </c>
      <c r="C401" s="5" t="s">
        <v>19</v>
      </c>
      <c r="D401" s="5" t="s">
        <v>13</v>
      </c>
      <c r="E401" s="5" t="s">
        <v>14</v>
      </c>
      <c r="F401" s="5">
        <v>172</v>
      </c>
      <c r="G401" s="49">
        <v>46.63</v>
      </c>
      <c r="H401" s="49">
        <v>8020.36</v>
      </c>
      <c r="I401" s="5" t="s">
        <v>41</v>
      </c>
      <c r="J401" s="5" t="s">
        <v>16</v>
      </c>
      <c r="K401" s="5" t="s">
        <v>24</v>
      </c>
    </row>
    <row r="402" spans="1:11" x14ac:dyDescent="0.3">
      <c r="A402" s="2">
        <v>45798</v>
      </c>
      <c r="B402" s="3" t="s">
        <v>65</v>
      </c>
      <c r="C402" s="3" t="s">
        <v>45</v>
      </c>
      <c r="D402" s="3" t="s">
        <v>58</v>
      </c>
      <c r="E402" s="3" t="s">
        <v>22</v>
      </c>
      <c r="F402" s="3">
        <v>152</v>
      </c>
      <c r="G402" s="48">
        <v>23.83</v>
      </c>
      <c r="H402" s="48">
        <v>3622.16</v>
      </c>
      <c r="I402" s="3" t="s">
        <v>41</v>
      </c>
      <c r="J402" s="3" t="s">
        <v>67</v>
      </c>
      <c r="K402" s="3" t="s">
        <v>24</v>
      </c>
    </row>
    <row r="403" spans="1:11" x14ac:dyDescent="0.3">
      <c r="A403" s="4">
        <v>45798</v>
      </c>
      <c r="B403" s="5" t="s">
        <v>56</v>
      </c>
      <c r="C403" s="5" t="s">
        <v>30</v>
      </c>
      <c r="D403" s="5" t="s">
        <v>49</v>
      </c>
      <c r="E403" s="5" t="s">
        <v>50</v>
      </c>
      <c r="F403" s="5"/>
      <c r="G403" s="49"/>
      <c r="H403" s="49"/>
      <c r="I403" s="5" t="s">
        <v>37</v>
      </c>
      <c r="J403" s="5" t="s">
        <v>29</v>
      </c>
      <c r="K403" s="5" t="s">
        <v>24</v>
      </c>
    </row>
    <row r="404" spans="1:11" x14ac:dyDescent="0.3">
      <c r="A404" s="2">
        <v>45799</v>
      </c>
      <c r="B404" s="3" t="s">
        <v>36</v>
      </c>
      <c r="C404" s="3" t="s">
        <v>19</v>
      </c>
      <c r="D404" s="3" t="s">
        <v>43</v>
      </c>
      <c r="E404" s="3" t="s">
        <v>44</v>
      </c>
      <c r="F404" s="3">
        <v>76</v>
      </c>
      <c r="G404" s="48">
        <v>133.93</v>
      </c>
      <c r="H404" s="48">
        <v>10178.68</v>
      </c>
      <c r="I404" s="3" t="s">
        <v>37</v>
      </c>
      <c r="J404" s="3" t="s">
        <v>16</v>
      </c>
      <c r="K404" s="3"/>
    </row>
    <row r="405" spans="1:11" x14ac:dyDescent="0.3">
      <c r="A405" s="4">
        <v>45800</v>
      </c>
      <c r="B405" s="5" t="s">
        <v>36</v>
      </c>
      <c r="C405" s="5" t="s">
        <v>30</v>
      </c>
      <c r="D405" s="5" t="s">
        <v>59</v>
      </c>
      <c r="E405" s="5" t="s">
        <v>50</v>
      </c>
      <c r="F405" s="5"/>
      <c r="G405" s="49"/>
      <c r="H405" s="49"/>
      <c r="I405" s="5" t="s">
        <v>15</v>
      </c>
      <c r="J405" s="5" t="s">
        <v>16</v>
      </c>
      <c r="K405" s="5" t="s">
        <v>42</v>
      </c>
    </row>
    <row r="406" spans="1:11" x14ac:dyDescent="0.3">
      <c r="A406" s="2">
        <v>45800</v>
      </c>
      <c r="B406" s="3" t="s">
        <v>20</v>
      </c>
      <c r="C406" s="3" t="s">
        <v>12</v>
      </c>
      <c r="D406" s="3" t="s">
        <v>48</v>
      </c>
      <c r="E406" s="3" t="s">
        <v>14</v>
      </c>
      <c r="F406" s="3">
        <v>110</v>
      </c>
      <c r="G406" s="48">
        <v>87.44</v>
      </c>
      <c r="H406" s="48">
        <v>9618.4</v>
      </c>
      <c r="I406" s="3" t="s">
        <v>15</v>
      </c>
      <c r="J406" s="3" t="s">
        <v>16</v>
      </c>
      <c r="K406" s="3"/>
    </row>
    <row r="407" spans="1:11" x14ac:dyDescent="0.3">
      <c r="A407" s="4">
        <v>45800</v>
      </c>
      <c r="B407" s="5" t="s">
        <v>56</v>
      </c>
      <c r="C407" s="5" t="s">
        <v>30</v>
      </c>
      <c r="D407" s="5" t="s">
        <v>48</v>
      </c>
      <c r="E407" s="5" t="s">
        <v>14</v>
      </c>
      <c r="F407" s="5">
        <v>136</v>
      </c>
      <c r="G407" s="49">
        <v>82.06</v>
      </c>
      <c r="H407" s="49">
        <v>11160.16</v>
      </c>
      <c r="I407" s="5" t="s">
        <v>37</v>
      </c>
      <c r="J407" s="5" t="s">
        <v>29</v>
      </c>
      <c r="K407" s="5" t="s">
        <v>33</v>
      </c>
    </row>
    <row r="408" spans="1:11" x14ac:dyDescent="0.3">
      <c r="A408" s="2">
        <v>45801</v>
      </c>
      <c r="B408" s="3" t="s">
        <v>34</v>
      </c>
      <c r="C408" s="3" t="s">
        <v>19</v>
      </c>
      <c r="D408" s="3" t="s">
        <v>54</v>
      </c>
      <c r="E408" s="3" t="s">
        <v>44</v>
      </c>
      <c r="F408" s="3">
        <v>156</v>
      </c>
      <c r="G408" s="48">
        <v>107.88</v>
      </c>
      <c r="H408" s="48">
        <v>16829.28</v>
      </c>
      <c r="I408" s="3" t="s">
        <v>41</v>
      </c>
      <c r="J408" s="3" t="s">
        <v>16</v>
      </c>
      <c r="K408" s="3"/>
    </row>
    <row r="409" spans="1:11" x14ac:dyDescent="0.3">
      <c r="A409" s="4">
        <v>45802</v>
      </c>
      <c r="B409" s="5" t="s">
        <v>36</v>
      </c>
      <c r="C409" s="5" t="s">
        <v>45</v>
      </c>
      <c r="D409" s="5" t="s">
        <v>52</v>
      </c>
      <c r="E409" s="5" t="s">
        <v>27</v>
      </c>
      <c r="F409" s="5">
        <v>14</v>
      </c>
      <c r="G409" s="49">
        <v>49.42</v>
      </c>
      <c r="H409" s="49">
        <v>691.88</v>
      </c>
      <c r="I409" s="5" t="s">
        <v>41</v>
      </c>
      <c r="J409" s="5" t="s">
        <v>16</v>
      </c>
      <c r="K409" s="5"/>
    </row>
    <row r="410" spans="1:11" x14ac:dyDescent="0.3">
      <c r="A410" s="2">
        <v>45803</v>
      </c>
      <c r="B410" s="3" t="s">
        <v>34</v>
      </c>
      <c r="C410" s="3" t="s">
        <v>12</v>
      </c>
      <c r="D410" s="3" t="s">
        <v>52</v>
      </c>
      <c r="E410" s="3" t="s">
        <v>27</v>
      </c>
      <c r="F410" s="3">
        <v>10</v>
      </c>
      <c r="G410" s="48">
        <v>45.77</v>
      </c>
      <c r="H410" s="48">
        <v>457.7</v>
      </c>
      <c r="I410" s="3" t="s">
        <v>23</v>
      </c>
      <c r="J410" s="3" t="s">
        <v>16</v>
      </c>
      <c r="K410" s="3"/>
    </row>
    <row r="411" spans="1:11" x14ac:dyDescent="0.3">
      <c r="A411" s="4">
        <v>45803</v>
      </c>
      <c r="B411" s="5" t="s">
        <v>20</v>
      </c>
      <c r="C411" s="5" t="s">
        <v>12</v>
      </c>
      <c r="D411" s="5" t="s">
        <v>52</v>
      </c>
      <c r="E411" s="5" t="s">
        <v>27</v>
      </c>
      <c r="F411" s="5">
        <v>177</v>
      </c>
      <c r="G411" s="49">
        <v>46.75</v>
      </c>
      <c r="H411" s="49">
        <v>8274.75</v>
      </c>
      <c r="I411" s="5" t="s">
        <v>37</v>
      </c>
      <c r="J411" s="5" t="s">
        <v>29</v>
      </c>
      <c r="K411" s="5" t="s">
        <v>42</v>
      </c>
    </row>
    <row r="412" spans="1:11" x14ac:dyDescent="0.3">
      <c r="A412" s="2">
        <v>45803</v>
      </c>
      <c r="B412" s="3" t="s">
        <v>36</v>
      </c>
      <c r="C412" s="3" t="s">
        <v>45</v>
      </c>
      <c r="D412" s="3" t="s">
        <v>31</v>
      </c>
      <c r="E412" s="3" t="s">
        <v>32</v>
      </c>
      <c r="F412" s="3">
        <v>162</v>
      </c>
      <c r="G412" s="48">
        <v>11.66</v>
      </c>
      <c r="H412" s="48">
        <v>1888.92</v>
      </c>
      <c r="I412" s="3" t="s">
        <v>37</v>
      </c>
      <c r="J412" s="3" t="s">
        <v>16</v>
      </c>
      <c r="K412" s="3"/>
    </row>
    <row r="413" spans="1:11" x14ac:dyDescent="0.3">
      <c r="A413" s="4">
        <v>45803</v>
      </c>
      <c r="B413" s="5" t="s">
        <v>36</v>
      </c>
      <c r="C413" s="5" t="s">
        <v>45</v>
      </c>
      <c r="D413" s="5" t="s">
        <v>39</v>
      </c>
      <c r="E413" s="5" t="s">
        <v>40</v>
      </c>
      <c r="F413" s="5">
        <v>70</v>
      </c>
      <c r="G413" s="49">
        <v>56.49</v>
      </c>
      <c r="H413" s="49">
        <v>3954.3</v>
      </c>
      <c r="I413" s="5" t="s">
        <v>23</v>
      </c>
      <c r="J413" s="5" t="s">
        <v>29</v>
      </c>
      <c r="K413" s="5" t="s">
        <v>42</v>
      </c>
    </row>
    <row r="414" spans="1:11" x14ac:dyDescent="0.3">
      <c r="A414" s="2">
        <v>45803</v>
      </c>
      <c r="B414" s="3" t="s">
        <v>36</v>
      </c>
      <c r="C414" s="3" t="s">
        <v>19</v>
      </c>
      <c r="D414" s="3" t="s">
        <v>58</v>
      </c>
      <c r="E414" s="3" t="s">
        <v>22</v>
      </c>
      <c r="F414" s="3">
        <v>87</v>
      </c>
      <c r="G414" s="48">
        <v>25.53</v>
      </c>
      <c r="H414" s="48">
        <v>2221.11</v>
      </c>
      <c r="I414" s="3" t="s">
        <v>41</v>
      </c>
      <c r="J414" s="3" t="s">
        <v>47</v>
      </c>
      <c r="K414" s="3" t="s">
        <v>17</v>
      </c>
    </row>
    <row r="415" spans="1:11" x14ac:dyDescent="0.3">
      <c r="A415" s="4">
        <v>45803</v>
      </c>
      <c r="B415" s="5" t="s">
        <v>53</v>
      </c>
      <c r="C415" s="5" t="s">
        <v>30</v>
      </c>
      <c r="D415" s="5" t="s">
        <v>39</v>
      </c>
      <c r="E415" s="5" t="s">
        <v>40</v>
      </c>
      <c r="F415" s="5">
        <v>144</v>
      </c>
      <c r="G415" s="49">
        <v>58.7</v>
      </c>
      <c r="H415" s="49">
        <v>8452.7999999999993</v>
      </c>
      <c r="I415" s="5" t="s">
        <v>41</v>
      </c>
      <c r="J415" s="5" t="s">
        <v>16</v>
      </c>
      <c r="K415" s="5" t="s">
        <v>24</v>
      </c>
    </row>
    <row r="416" spans="1:11" x14ac:dyDescent="0.3">
      <c r="A416" s="2">
        <v>45804</v>
      </c>
      <c r="B416" s="3" t="s">
        <v>18</v>
      </c>
      <c r="C416" s="3" t="s">
        <v>12</v>
      </c>
      <c r="D416" s="3" t="s">
        <v>26</v>
      </c>
      <c r="E416" s="3" t="s">
        <v>27</v>
      </c>
      <c r="F416" s="3">
        <v>17</v>
      </c>
      <c r="G416" s="48">
        <v>54.35</v>
      </c>
      <c r="H416" s="48">
        <v>923.95</v>
      </c>
      <c r="I416" s="3" t="s">
        <v>23</v>
      </c>
      <c r="J416" s="3" t="s">
        <v>16</v>
      </c>
      <c r="K416" s="3"/>
    </row>
    <row r="417" spans="1:11" x14ac:dyDescent="0.3">
      <c r="A417" s="4">
        <v>45804</v>
      </c>
      <c r="B417" s="5" t="s">
        <v>11</v>
      </c>
      <c r="C417" s="5" t="s">
        <v>38</v>
      </c>
      <c r="D417" s="5" t="s">
        <v>54</v>
      </c>
      <c r="E417" s="5" t="s">
        <v>44</v>
      </c>
      <c r="F417" s="5">
        <v>140</v>
      </c>
      <c r="G417" s="49">
        <v>113.93</v>
      </c>
      <c r="H417" s="49">
        <v>15950.2</v>
      </c>
      <c r="I417" s="5" t="s">
        <v>15</v>
      </c>
      <c r="J417" s="5" t="s">
        <v>29</v>
      </c>
      <c r="K417" s="5" t="s">
        <v>17</v>
      </c>
    </row>
    <row r="418" spans="1:11" x14ac:dyDescent="0.3">
      <c r="A418" s="2">
        <v>45804</v>
      </c>
      <c r="B418" s="3" t="s">
        <v>25</v>
      </c>
      <c r="C418" s="3" t="s">
        <v>45</v>
      </c>
      <c r="D418" s="3" t="s">
        <v>58</v>
      </c>
      <c r="E418" s="3" t="s">
        <v>22</v>
      </c>
      <c r="F418" s="3">
        <v>68</v>
      </c>
      <c r="G418" s="48">
        <v>25.88</v>
      </c>
      <c r="H418" s="48">
        <v>1759.84</v>
      </c>
      <c r="I418" s="3" t="s">
        <v>28</v>
      </c>
      <c r="J418" s="3" t="s">
        <v>29</v>
      </c>
      <c r="K418" s="3"/>
    </row>
    <row r="419" spans="1:11" x14ac:dyDescent="0.3">
      <c r="A419" s="4">
        <v>45804</v>
      </c>
      <c r="B419" s="5" t="s">
        <v>25</v>
      </c>
      <c r="C419" s="5" t="s">
        <v>12</v>
      </c>
      <c r="D419" s="5" t="s">
        <v>31</v>
      </c>
      <c r="E419" s="5" t="s">
        <v>32</v>
      </c>
      <c r="F419" s="5">
        <v>164</v>
      </c>
      <c r="G419" s="49">
        <v>12.08</v>
      </c>
      <c r="H419" s="49">
        <v>1981.12</v>
      </c>
      <c r="I419" s="5" t="s">
        <v>41</v>
      </c>
      <c r="J419" s="5" t="s">
        <v>47</v>
      </c>
      <c r="K419" s="5"/>
    </row>
    <row r="420" spans="1:11" x14ac:dyDescent="0.3">
      <c r="A420" s="2">
        <v>45804</v>
      </c>
      <c r="B420" s="3" t="s">
        <v>34</v>
      </c>
      <c r="C420" s="3" t="s">
        <v>12</v>
      </c>
      <c r="D420" s="3" t="s">
        <v>60</v>
      </c>
      <c r="E420" s="3" t="s">
        <v>44</v>
      </c>
      <c r="F420" s="3">
        <v>137</v>
      </c>
      <c r="G420" s="48">
        <v>122.69</v>
      </c>
      <c r="H420" s="48">
        <v>16808.53</v>
      </c>
      <c r="I420" s="3" t="s">
        <v>23</v>
      </c>
      <c r="J420" s="3" t="s">
        <v>16</v>
      </c>
      <c r="K420" s="3" t="s">
        <v>33</v>
      </c>
    </row>
    <row r="421" spans="1:11" x14ac:dyDescent="0.3">
      <c r="A421" s="4">
        <v>45805</v>
      </c>
      <c r="B421" s="5" t="s">
        <v>34</v>
      </c>
      <c r="C421" s="5" t="s">
        <v>12</v>
      </c>
      <c r="D421" s="5" t="s">
        <v>13</v>
      </c>
      <c r="E421" s="5" t="s">
        <v>14</v>
      </c>
      <c r="F421" s="5">
        <v>125</v>
      </c>
      <c r="G421" s="49">
        <v>47.12</v>
      </c>
      <c r="H421" s="49">
        <v>5890</v>
      </c>
      <c r="I421" s="5" t="s">
        <v>28</v>
      </c>
      <c r="J421" s="5" t="s">
        <v>16</v>
      </c>
      <c r="K421" s="5" t="s">
        <v>17</v>
      </c>
    </row>
    <row r="422" spans="1:11" x14ac:dyDescent="0.3">
      <c r="A422" s="2">
        <v>45805</v>
      </c>
      <c r="B422" s="3" t="s">
        <v>36</v>
      </c>
      <c r="C422" s="3" t="s">
        <v>12</v>
      </c>
      <c r="D422" s="3" t="s">
        <v>39</v>
      </c>
      <c r="E422" s="3" t="s">
        <v>40</v>
      </c>
      <c r="F422" s="3">
        <v>45</v>
      </c>
      <c r="G422" s="48">
        <v>56.4</v>
      </c>
      <c r="H422" s="48">
        <v>2538</v>
      </c>
      <c r="I422" s="3" t="s">
        <v>23</v>
      </c>
      <c r="J422" s="3" t="s">
        <v>16</v>
      </c>
      <c r="K422" s="3" t="s">
        <v>42</v>
      </c>
    </row>
    <row r="423" spans="1:11" x14ac:dyDescent="0.3">
      <c r="A423" s="4">
        <v>45806</v>
      </c>
      <c r="B423" s="5" t="s">
        <v>18</v>
      </c>
      <c r="C423" s="5" t="s">
        <v>45</v>
      </c>
      <c r="D423" s="5" t="s">
        <v>35</v>
      </c>
      <c r="E423" s="5" t="s">
        <v>32</v>
      </c>
      <c r="F423" s="5">
        <v>19</v>
      </c>
      <c r="G423" s="49">
        <v>14.1</v>
      </c>
      <c r="H423" s="49">
        <v>267.89999999999998</v>
      </c>
      <c r="I423" s="5" t="s">
        <v>37</v>
      </c>
      <c r="J423" s="5" t="s">
        <v>16</v>
      </c>
      <c r="K423" s="5" t="s">
        <v>24</v>
      </c>
    </row>
    <row r="424" spans="1:11" x14ac:dyDescent="0.3">
      <c r="A424" s="2">
        <v>45806</v>
      </c>
      <c r="B424" s="3" t="s">
        <v>20</v>
      </c>
      <c r="C424" s="3" t="s">
        <v>30</v>
      </c>
      <c r="D424" s="3" t="s">
        <v>60</v>
      </c>
      <c r="E424" s="3" t="s">
        <v>44</v>
      </c>
      <c r="F424" s="3">
        <v>198</v>
      </c>
      <c r="G424" s="48">
        <v>122.95</v>
      </c>
      <c r="H424" s="48">
        <v>24344.1</v>
      </c>
      <c r="I424" s="3" t="s">
        <v>37</v>
      </c>
      <c r="J424" s="3" t="s">
        <v>16</v>
      </c>
      <c r="K424" s="3"/>
    </row>
    <row r="425" spans="1:11" x14ac:dyDescent="0.3">
      <c r="A425" s="4">
        <v>45807</v>
      </c>
      <c r="B425" s="5" t="s">
        <v>77</v>
      </c>
      <c r="C425" s="5" t="s">
        <v>38</v>
      </c>
      <c r="D425" s="5" t="s">
        <v>52</v>
      </c>
      <c r="E425" s="5" t="s">
        <v>27</v>
      </c>
      <c r="F425" s="5">
        <v>171</v>
      </c>
      <c r="G425" s="49">
        <v>50.11</v>
      </c>
      <c r="H425" s="49">
        <v>8568.81</v>
      </c>
      <c r="I425" s="5" t="s">
        <v>37</v>
      </c>
      <c r="J425" s="5" t="s">
        <v>16</v>
      </c>
      <c r="K425" s="5"/>
    </row>
    <row r="426" spans="1:11" x14ac:dyDescent="0.3">
      <c r="A426" s="2">
        <v>45807</v>
      </c>
      <c r="B426" s="3" t="s">
        <v>34</v>
      </c>
      <c r="C426" s="3" t="s">
        <v>30</v>
      </c>
      <c r="D426" s="3" t="s">
        <v>60</v>
      </c>
      <c r="E426" s="3" t="s">
        <v>44</v>
      </c>
      <c r="F426" s="3">
        <v>26</v>
      </c>
      <c r="G426" s="48">
        <v>122.8</v>
      </c>
      <c r="H426" s="48">
        <v>3192.8</v>
      </c>
      <c r="I426" s="3" t="s">
        <v>37</v>
      </c>
      <c r="J426" s="3" t="s">
        <v>16</v>
      </c>
      <c r="K426" s="3"/>
    </row>
    <row r="427" spans="1:11" x14ac:dyDescent="0.3">
      <c r="A427" s="4">
        <v>45807</v>
      </c>
      <c r="B427" s="5" t="s">
        <v>56</v>
      </c>
      <c r="C427" s="5" t="s">
        <v>19</v>
      </c>
      <c r="D427" s="5" t="s">
        <v>13</v>
      </c>
      <c r="E427" s="5" t="s">
        <v>14</v>
      </c>
      <c r="F427" s="5">
        <v>34</v>
      </c>
      <c r="G427" s="49">
        <v>48.54</v>
      </c>
      <c r="H427" s="49">
        <v>1650.36</v>
      </c>
      <c r="I427" s="5" t="s">
        <v>15</v>
      </c>
      <c r="J427" s="5" t="s">
        <v>61</v>
      </c>
      <c r="K427" s="5"/>
    </row>
    <row r="428" spans="1:11" x14ac:dyDescent="0.3">
      <c r="A428" s="2">
        <v>45807</v>
      </c>
      <c r="B428" s="3" t="s">
        <v>18</v>
      </c>
      <c r="C428" s="3" t="s">
        <v>38</v>
      </c>
      <c r="D428" s="3" t="s">
        <v>13</v>
      </c>
      <c r="E428" s="3" t="s">
        <v>14</v>
      </c>
      <c r="F428" s="3">
        <v>65</v>
      </c>
      <c r="G428" s="48">
        <v>42.66</v>
      </c>
      <c r="H428" s="48">
        <v>2772.9</v>
      </c>
      <c r="I428" s="3" t="s">
        <v>41</v>
      </c>
      <c r="J428" s="3" t="s">
        <v>16</v>
      </c>
      <c r="K428" s="3" t="s">
        <v>46</v>
      </c>
    </row>
    <row r="429" spans="1:11" x14ac:dyDescent="0.3">
      <c r="A429" s="4">
        <v>45808</v>
      </c>
      <c r="B429" s="5" t="s">
        <v>25</v>
      </c>
      <c r="C429" s="5" t="s">
        <v>12</v>
      </c>
      <c r="D429" s="5" t="s">
        <v>58</v>
      </c>
      <c r="E429" s="5" t="s">
        <v>22</v>
      </c>
      <c r="F429" s="5">
        <v>35</v>
      </c>
      <c r="G429" s="49">
        <v>25.46</v>
      </c>
      <c r="H429" s="49">
        <v>891.1</v>
      </c>
      <c r="I429" s="5" t="s">
        <v>41</v>
      </c>
      <c r="J429" s="5" t="s">
        <v>16</v>
      </c>
      <c r="K429" s="5"/>
    </row>
    <row r="430" spans="1:11" x14ac:dyDescent="0.3">
      <c r="A430" s="2">
        <v>45809</v>
      </c>
      <c r="B430" s="3" t="s">
        <v>25</v>
      </c>
      <c r="C430" s="3" t="s">
        <v>19</v>
      </c>
      <c r="D430" s="3" t="s">
        <v>54</v>
      </c>
      <c r="E430" s="3" t="s">
        <v>44</v>
      </c>
      <c r="F430" s="3">
        <v>40</v>
      </c>
      <c r="G430" s="48">
        <v>114.53</v>
      </c>
      <c r="H430" s="48">
        <v>4581.2</v>
      </c>
      <c r="I430" s="3" t="s">
        <v>37</v>
      </c>
      <c r="J430" s="3" t="s">
        <v>16</v>
      </c>
      <c r="K430" s="3"/>
    </row>
    <row r="431" spans="1:11" x14ac:dyDescent="0.3">
      <c r="A431" s="4">
        <v>45809</v>
      </c>
      <c r="B431" s="5" t="s">
        <v>36</v>
      </c>
      <c r="C431" s="5" t="s">
        <v>12</v>
      </c>
      <c r="D431" s="5" t="s">
        <v>35</v>
      </c>
      <c r="E431" s="5" t="s">
        <v>32</v>
      </c>
      <c r="F431" s="5">
        <v>183</v>
      </c>
      <c r="G431" s="49">
        <v>13.4</v>
      </c>
      <c r="H431" s="49">
        <v>2452.1999999999998</v>
      </c>
      <c r="I431" s="5" t="s">
        <v>37</v>
      </c>
      <c r="J431" s="5" t="s">
        <v>16</v>
      </c>
      <c r="K431" s="5" t="s">
        <v>33</v>
      </c>
    </row>
    <row r="432" spans="1:11" x14ac:dyDescent="0.3">
      <c r="A432" s="2">
        <v>45810</v>
      </c>
      <c r="B432" s="3" t="s">
        <v>20</v>
      </c>
      <c r="C432" s="3" t="s">
        <v>30</v>
      </c>
      <c r="D432" s="3" t="s">
        <v>59</v>
      </c>
      <c r="E432" s="3" t="s">
        <v>50</v>
      </c>
      <c r="F432" s="3">
        <v>81</v>
      </c>
      <c r="G432" s="48">
        <v>32.36</v>
      </c>
      <c r="H432" s="48">
        <v>2621.16</v>
      </c>
      <c r="I432" s="3" t="s">
        <v>41</v>
      </c>
      <c r="J432" s="3" t="s">
        <v>16</v>
      </c>
      <c r="K432" s="3"/>
    </row>
    <row r="433" spans="1:11" x14ac:dyDescent="0.3">
      <c r="A433" s="4">
        <v>45810</v>
      </c>
      <c r="B433" s="5" t="s">
        <v>53</v>
      </c>
      <c r="C433" s="5" t="s">
        <v>38</v>
      </c>
      <c r="D433" s="5" t="s">
        <v>13</v>
      </c>
      <c r="E433" s="5" t="s">
        <v>14</v>
      </c>
      <c r="F433" s="5">
        <v>84</v>
      </c>
      <c r="G433" s="49">
        <v>42.47</v>
      </c>
      <c r="H433" s="49">
        <v>3567.48</v>
      </c>
      <c r="I433" s="5" t="s">
        <v>23</v>
      </c>
      <c r="J433" s="5" t="s">
        <v>16</v>
      </c>
      <c r="K433" s="5" t="s">
        <v>33</v>
      </c>
    </row>
    <row r="434" spans="1:11" x14ac:dyDescent="0.3">
      <c r="A434" s="2">
        <v>45810</v>
      </c>
      <c r="B434" s="3" t="s">
        <v>56</v>
      </c>
      <c r="C434" s="3" t="s">
        <v>19</v>
      </c>
      <c r="D434" s="3" t="s">
        <v>60</v>
      </c>
      <c r="E434" s="3" t="s">
        <v>44</v>
      </c>
      <c r="F434" s="3">
        <v>177</v>
      </c>
      <c r="G434" s="48">
        <v>119.1</v>
      </c>
      <c r="H434" s="48">
        <v>21080.7</v>
      </c>
      <c r="I434" s="3" t="s">
        <v>41</v>
      </c>
      <c r="J434" s="3" t="s">
        <v>47</v>
      </c>
      <c r="K434" s="3" t="s">
        <v>24</v>
      </c>
    </row>
    <row r="435" spans="1:11" x14ac:dyDescent="0.3">
      <c r="A435" s="4">
        <v>45811</v>
      </c>
      <c r="B435" s="5" t="s">
        <v>18</v>
      </c>
      <c r="C435" s="5" t="s">
        <v>19</v>
      </c>
      <c r="D435" s="5" t="s">
        <v>58</v>
      </c>
      <c r="E435" s="5" t="s">
        <v>22</v>
      </c>
      <c r="F435" s="5">
        <v>45</v>
      </c>
      <c r="G435" s="49">
        <v>25.62</v>
      </c>
      <c r="H435" s="49">
        <v>1152.9000000000001</v>
      </c>
      <c r="I435" s="5" t="s">
        <v>41</v>
      </c>
      <c r="J435" s="5" t="s">
        <v>29</v>
      </c>
      <c r="K435" s="5"/>
    </row>
    <row r="436" spans="1:11" x14ac:dyDescent="0.3">
      <c r="A436" s="2">
        <v>45811</v>
      </c>
      <c r="B436" s="3" t="s">
        <v>25</v>
      </c>
      <c r="C436" s="3" t="s">
        <v>45</v>
      </c>
      <c r="D436" s="3" t="s">
        <v>48</v>
      </c>
      <c r="E436" s="3" t="s">
        <v>14</v>
      </c>
      <c r="F436" s="3">
        <v>90</v>
      </c>
      <c r="G436" s="48">
        <v>87.52</v>
      </c>
      <c r="H436" s="48">
        <v>7876.8</v>
      </c>
      <c r="I436" s="3" t="s">
        <v>15</v>
      </c>
      <c r="J436" s="3" t="s">
        <v>16</v>
      </c>
      <c r="K436" s="3"/>
    </row>
    <row r="437" spans="1:11" x14ac:dyDescent="0.3">
      <c r="A437" s="4">
        <v>45812</v>
      </c>
      <c r="B437" s="5" t="s">
        <v>25</v>
      </c>
      <c r="C437" s="5" t="s">
        <v>30</v>
      </c>
      <c r="D437" s="5" t="s">
        <v>43</v>
      </c>
      <c r="E437" s="5" t="s">
        <v>44</v>
      </c>
      <c r="F437" s="5">
        <v>170</v>
      </c>
      <c r="G437" s="49">
        <v>135.29</v>
      </c>
      <c r="H437" s="49">
        <v>22999.3</v>
      </c>
      <c r="I437" s="5" t="s">
        <v>41</v>
      </c>
      <c r="J437" s="5" t="s">
        <v>47</v>
      </c>
      <c r="K437" s="5" t="s">
        <v>42</v>
      </c>
    </row>
    <row r="438" spans="1:11" x14ac:dyDescent="0.3">
      <c r="A438" s="2">
        <v>45812</v>
      </c>
      <c r="B438" s="3" t="s">
        <v>11</v>
      </c>
      <c r="C438" s="3" t="s">
        <v>45</v>
      </c>
      <c r="D438" s="3" t="s">
        <v>43</v>
      </c>
      <c r="E438" s="3" t="s">
        <v>44</v>
      </c>
      <c r="F438" s="3">
        <v>25</v>
      </c>
      <c r="G438" s="48">
        <v>136.47</v>
      </c>
      <c r="H438" s="48">
        <v>3411.75</v>
      </c>
      <c r="I438" s="3" t="s">
        <v>28</v>
      </c>
      <c r="J438" s="3" t="s">
        <v>16</v>
      </c>
      <c r="K438" s="3"/>
    </row>
    <row r="439" spans="1:11" x14ac:dyDescent="0.3">
      <c r="A439" s="4">
        <v>45812</v>
      </c>
      <c r="B439" s="5" t="s">
        <v>36</v>
      </c>
      <c r="C439" s="5" t="s">
        <v>45</v>
      </c>
      <c r="D439" s="5" t="s">
        <v>35</v>
      </c>
      <c r="E439" s="5" t="s">
        <v>32</v>
      </c>
      <c r="F439" s="5">
        <v>173</v>
      </c>
      <c r="G439" s="49">
        <v>14.98</v>
      </c>
      <c r="H439" s="49">
        <v>2591.54</v>
      </c>
      <c r="I439" s="5" t="s">
        <v>41</v>
      </c>
      <c r="J439" s="5" t="s">
        <v>16</v>
      </c>
      <c r="K439" s="5"/>
    </row>
    <row r="440" spans="1:11" x14ac:dyDescent="0.3">
      <c r="A440" s="2">
        <v>45812</v>
      </c>
      <c r="B440" s="3" t="s">
        <v>56</v>
      </c>
      <c r="C440" s="3" t="s">
        <v>12</v>
      </c>
      <c r="D440" s="3" t="s">
        <v>52</v>
      </c>
      <c r="E440" s="3" t="s">
        <v>27</v>
      </c>
      <c r="F440" s="3">
        <v>117</v>
      </c>
      <c r="G440" s="48">
        <v>44.49</v>
      </c>
      <c r="H440" s="48">
        <v>5205.33</v>
      </c>
      <c r="I440" s="3" t="s">
        <v>28</v>
      </c>
      <c r="J440" s="3" t="s">
        <v>29</v>
      </c>
      <c r="K440" s="3"/>
    </row>
    <row r="441" spans="1:11" x14ac:dyDescent="0.3">
      <c r="A441" s="4">
        <v>45812</v>
      </c>
      <c r="B441" s="5" t="s">
        <v>25</v>
      </c>
      <c r="C441" s="5" t="s">
        <v>45</v>
      </c>
      <c r="D441" s="5" t="s">
        <v>43</v>
      </c>
      <c r="E441" s="5" t="s">
        <v>44</v>
      </c>
      <c r="F441" s="5">
        <v>157</v>
      </c>
      <c r="G441" s="49">
        <v>137.38</v>
      </c>
      <c r="H441" s="49">
        <v>21568.66</v>
      </c>
      <c r="I441" s="5" t="s">
        <v>28</v>
      </c>
      <c r="J441" s="5" t="s">
        <v>29</v>
      </c>
      <c r="K441" s="5" t="s">
        <v>17</v>
      </c>
    </row>
    <row r="442" spans="1:11" x14ac:dyDescent="0.3">
      <c r="A442" s="2">
        <v>45813</v>
      </c>
      <c r="B442" s="3" t="s">
        <v>36</v>
      </c>
      <c r="C442" s="3" t="s">
        <v>19</v>
      </c>
      <c r="D442" s="3" t="s">
        <v>52</v>
      </c>
      <c r="E442" s="3" t="s">
        <v>27</v>
      </c>
      <c r="F442" s="3">
        <v>157</v>
      </c>
      <c r="G442" s="48">
        <v>46.88</v>
      </c>
      <c r="H442" s="48">
        <v>7360.16</v>
      </c>
      <c r="I442" s="3" t="s">
        <v>23</v>
      </c>
      <c r="J442" s="3" t="s">
        <v>47</v>
      </c>
      <c r="K442" s="3"/>
    </row>
    <row r="443" spans="1:11" x14ac:dyDescent="0.3">
      <c r="A443" s="4">
        <v>45814</v>
      </c>
      <c r="B443" s="5" t="s">
        <v>18</v>
      </c>
      <c r="C443" s="5" t="s">
        <v>19</v>
      </c>
      <c r="D443" s="5" t="s">
        <v>21</v>
      </c>
      <c r="E443" s="5" t="s">
        <v>22</v>
      </c>
      <c r="F443" s="5">
        <v>17</v>
      </c>
      <c r="G443" s="49">
        <v>10.61</v>
      </c>
      <c r="H443" s="49">
        <v>180.37</v>
      </c>
      <c r="I443" s="5" t="s">
        <v>28</v>
      </c>
      <c r="J443" s="5" t="s">
        <v>29</v>
      </c>
      <c r="K443" s="5" t="s">
        <v>33</v>
      </c>
    </row>
    <row r="444" spans="1:11" x14ac:dyDescent="0.3">
      <c r="A444" s="2">
        <v>45814</v>
      </c>
      <c r="B444" s="3" t="s">
        <v>34</v>
      </c>
      <c r="C444" s="3" t="s">
        <v>19</v>
      </c>
      <c r="D444" s="3" t="s">
        <v>58</v>
      </c>
      <c r="E444" s="3" t="s">
        <v>22</v>
      </c>
      <c r="F444" s="3">
        <v>200</v>
      </c>
      <c r="G444" s="48">
        <v>24.08</v>
      </c>
      <c r="H444" s="48">
        <v>4816</v>
      </c>
      <c r="I444" s="3" t="s">
        <v>41</v>
      </c>
      <c r="J444" s="3" t="s">
        <v>61</v>
      </c>
      <c r="K444" s="3" t="s">
        <v>17</v>
      </c>
    </row>
    <row r="445" spans="1:11" x14ac:dyDescent="0.3">
      <c r="A445" s="4">
        <v>45815</v>
      </c>
      <c r="B445" s="5" t="s">
        <v>18</v>
      </c>
      <c r="C445" s="5" t="s">
        <v>38</v>
      </c>
      <c r="D445" s="5" t="s">
        <v>49</v>
      </c>
      <c r="E445" s="5" t="s">
        <v>50</v>
      </c>
      <c r="F445" s="5">
        <v>50</v>
      </c>
      <c r="G445" s="49">
        <v>21.39</v>
      </c>
      <c r="H445" s="49">
        <v>1069.5</v>
      </c>
      <c r="I445" s="5" t="s">
        <v>41</v>
      </c>
      <c r="J445" s="5" t="s">
        <v>16</v>
      </c>
      <c r="K445" s="5" t="s">
        <v>17</v>
      </c>
    </row>
    <row r="446" spans="1:11" x14ac:dyDescent="0.3">
      <c r="A446" s="2">
        <v>45815</v>
      </c>
      <c r="B446" s="3" t="s">
        <v>20</v>
      </c>
      <c r="C446" s="3" t="s">
        <v>38</v>
      </c>
      <c r="D446" s="3" t="s">
        <v>43</v>
      </c>
      <c r="E446" s="3" t="s">
        <v>44</v>
      </c>
      <c r="F446" s="3">
        <v>132</v>
      </c>
      <c r="G446" s="48">
        <v>135.15</v>
      </c>
      <c r="H446" s="48">
        <v>17839.8</v>
      </c>
      <c r="I446" s="3" t="s">
        <v>37</v>
      </c>
      <c r="J446" s="3" t="s">
        <v>47</v>
      </c>
      <c r="K446" s="3"/>
    </row>
    <row r="447" spans="1:11" x14ac:dyDescent="0.3">
      <c r="A447" s="4">
        <v>45815</v>
      </c>
      <c r="B447" s="5" t="s">
        <v>20</v>
      </c>
      <c r="C447" s="5" t="s">
        <v>12</v>
      </c>
      <c r="D447" s="5" t="s">
        <v>54</v>
      </c>
      <c r="E447" s="5" t="s">
        <v>44</v>
      </c>
      <c r="F447" s="5">
        <v>44</v>
      </c>
      <c r="G447" s="49">
        <v>117.9</v>
      </c>
      <c r="H447" s="49">
        <v>5187.6000000000004</v>
      </c>
      <c r="I447" s="5" t="s">
        <v>41</v>
      </c>
      <c r="J447" s="5" t="s">
        <v>16</v>
      </c>
      <c r="K447" s="5"/>
    </row>
    <row r="448" spans="1:11" x14ac:dyDescent="0.3">
      <c r="A448" s="2">
        <v>45815</v>
      </c>
      <c r="B448" s="3" t="s">
        <v>56</v>
      </c>
      <c r="C448" s="3" t="s">
        <v>38</v>
      </c>
      <c r="D448" s="3" t="s">
        <v>13</v>
      </c>
      <c r="E448" s="3" t="s">
        <v>14</v>
      </c>
      <c r="F448" s="3"/>
      <c r="G448" s="48"/>
      <c r="H448" s="48"/>
      <c r="I448" s="3" t="s">
        <v>41</v>
      </c>
      <c r="J448" s="3" t="s">
        <v>47</v>
      </c>
      <c r="K448" s="3"/>
    </row>
    <row r="449" spans="1:11" x14ac:dyDescent="0.3">
      <c r="A449" s="4">
        <v>45815</v>
      </c>
      <c r="B449" s="5" t="s">
        <v>34</v>
      </c>
      <c r="C449" s="5" t="s">
        <v>19</v>
      </c>
      <c r="D449" s="5" t="s">
        <v>13</v>
      </c>
      <c r="E449" s="5" t="s">
        <v>14</v>
      </c>
      <c r="F449" s="5">
        <v>61</v>
      </c>
      <c r="G449" s="49">
        <v>47.5</v>
      </c>
      <c r="H449" s="49">
        <v>2897.5</v>
      </c>
      <c r="I449" s="5" t="s">
        <v>23</v>
      </c>
      <c r="J449" s="5" t="s">
        <v>47</v>
      </c>
      <c r="K449" s="5" t="s">
        <v>24</v>
      </c>
    </row>
    <row r="450" spans="1:11" x14ac:dyDescent="0.3">
      <c r="A450" s="2">
        <v>45816</v>
      </c>
      <c r="B450" s="3" t="s">
        <v>56</v>
      </c>
      <c r="C450" s="3" t="s">
        <v>30</v>
      </c>
      <c r="D450" s="3" t="s">
        <v>31</v>
      </c>
      <c r="E450" s="3" t="s">
        <v>32</v>
      </c>
      <c r="F450" s="3">
        <v>123</v>
      </c>
      <c r="G450" s="48">
        <v>11.97</v>
      </c>
      <c r="H450" s="48">
        <v>1472.31</v>
      </c>
      <c r="I450" s="3" t="s">
        <v>23</v>
      </c>
      <c r="J450" s="3" t="s">
        <v>47</v>
      </c>
      <c r="K450" s="3" t="s">
        <v>24</v>
      </c>
    </row>
    <row r="451" spans="1:11" x14ac:dyDescent="0.3">
      <c r="A451" s="4">
        <v>45816</v>
      </c>
      <c r="B451" s="5" t="s">
        <v>20</v>
      </c>
      <c r="C451" s="5" t="s">
        <v>19</v>
      </c>
      <c r="D451" s="5" t="s">
        <v>26</v>
      </c>
      <c r="E451" s="5" t="s">
        <v>27</v>
      </c>
      <c r="F451" s="5">
        <v>115</v>
      </c>
      <c r="G451" s="49">
        <v>54.82</v>
      </c>
      <c r="H451" s="49">
        <v>6304.3</v>
      </c>
      <c r="I451" s="5" t="s">
        <v>37</v>
      </c>
      <c r="J451" s="5" t="s">
        <v>29</v>
      </c>
      <c r="K451" s="5" t="s">
        <v>46</v>
      </c>
    </row>
    <row r="452" spans="1:11" x14ac:dyDescent="0.3">
      <c r="A452" s="2">
        <v>45816</v>
      </c>
      <c r="B452" s="3" t="s">
        <v>11</v>
      </c>
      <c r="C452" s="3" t="s">
        <v>38</v>
      </c>
      <c r="D452" s="3" t="s">
        <v>58</v>
      </c>
      <c r="E452" s="3" t="s">
        <v>22</v>
      </c>
      <c r="F452" s="3">
        <v>190</v>
      </c>
      <c r="G452" s="48">
        <v>24.47</v>
      </c>
      <c r="H452" s="48">
        <v>4649.3</v>
      </c>
      <c r="I452" s="3" t="s">
        <v>28</v>
      </c>
      <c r="J452" s="3" t="s">
        <v>16</v>
      </c>
      <c r="K452" s="3" t="s">
        <v>24</v>
      </c>
    </row>
    <row r="453" spans="1:11" x14ac:dyDescent="0.3">
      <c r="A453" s="4">
        <v>45817</v>
      </c>
      <c r="B453" s="5" t="s">
        <v>18</v>
      </c>
      <c r="C453" s="5" t="s">
        <v>45</v>
      </c>
      <c r="D453" s="5" t="s">
        <v>54</v>
      </c>
      <c r="E453" s="5" t="s">
        <v>44</v>
      </c>
      <c r="F453" s="5">
        <v>11</v>
      </c>
      <c r="G453" s="49">
        <v>112.86</v>
      </c>
      <c r="H453" s="49">
        <v>1241.46</v>
      </c>
      <c r="I453" s="5" t="s">
        <v>28</v>
      </c>
      <c r="J453" s="5" t="s">
        <v>47</v>
      </c>
      <c r="K453" s="5"/>
    </row>
    <row r="454" spans="1:11" x14ac:dyDescent="0.3">
      <c r="A454" s="2">
        <v>45817</v>
      </c>
      <c r="B454" s="3" t="s">
        <v>25</v>
      </c>
      <c r="C454" s="3" t="s">
        <v>12</v>
      </c>
      <c r="D454" s="3" t="s">
        <v>49</v>
      </c>
      <c r="E454" s="3" t="s">
        <v>50</v>
      </c>
      <c r="F454" s="3">
        <v>36</v>
      </c>
      <c r="G454" s="48">
        <v>20.38</v>
      </c>
      <c r="H454" s="48">
        <v>733.68</v>
      </c>
      <c r="I454" s="3" t="s">
        <v>23</v>
      </c>
      <c r="J454" s="3" t="s">
        <v>29</v>
      </c>
      <c r="K454" s="3" t="s">
        <v>24</v>
      </c>
    </row>
    <row r="455" spans="1:11" x14ac:dyDescent="0.3">
      <c r="A455" s="4">
        <v>45817</v>
      </c>
      <c r="B455" s="5" t="s">
        <v>76</v>
      </c>
      <c r="C455" s="5" t="s">
        <v>30</v>
      </c>
      <c r="D455" s="5" t="s">
        <v>58</v>
      </c>
      <c r="E455" s="5" t="s">
        <v>22</v>
      </c>
      <c r="F455" s="5">
        <v>92</v>
      </c>
      <c r="G455" s="49">
        <v>26.18</v>
      </c>
      <c r="H455" s="49">
        <v>2408.56</v>
      </c>
      <c r="I455" s="5" t="s">
        <v>23</v>
      </c>
      <c r="J455" s="5" t="s">
        <v>16</v>
      </c>
      <c r="K455" s="5" t="s">
        <v>42</v>
      </c>
    </row>
    <row r="456" spans="1:11" x14ac:dyDescent="0.3">
      <c r="A456" s="2">
        <v>45817</v>
      </c>
      <c r="B456" s="3" t="s">
        <v>34</v>
      </c>
      <c r="C456" s="3" t="s">
        <v>30</v>
      </c>
      <c r="D456" s="3" t="s">
        <v>48</v>
      </c>
      <c r="E456" s="3" t="s">
        <v>14</v>
      </c>
      <c r="F456" s="3">
        <v>66</v>
      </c>
      <c r="G456" s="48">
        <v>79.16</v>
      </c>
      <c r="H456" s="48">
        <v>5224.5600000000004</v>
      </c>
      <c r="I456" s="3" t="s">
        <v>15</v>
      </c>
      <c r="J456" s="3" t="s">
        <v>29</v>
      </c>
      <c r="K456" s="3" t="s">
        <v>17</v>
      </c>
    </row>
    <row r="457" spans="1:11" x14ac:dyDescent="0.3">
      <c r="A457" s="4">
        <v>45818</v>
      </c>
      <c r="B457" s="5" t="s">
        <v>53</v>
      </c>
      <c r="C457" s="5" t="s">
        <v>38</v>
      </c>
      <c r="D457" s="5" t="s">
        <v>58</v>
      </c>
      <c r="E457" s="5" t="s">
        <v>22</v>
      </c>
      <c r="F457" s="5">
        <v>171</v>
      </c>
      <c r="G457" s="49">
        <v>26.46</v>
      </c>
      <c r="H457" s="49">
        <v>4524.66</v>
      </c>
      <c r="I457" s="5" t="s">
        <v>15</v>
      </c>
      <c r="J457" s="5" t="s">
        <v>47</v>
      </c>
      <c r="K457" s="5" t="s">
        <v>33</v>
      </c>
    </row>
    <row r="458" spans="1:11" x14ac:dyDescent="0.3">
      <c r="A458" s="2">
        <v>45818</v>
      </c>
      <c r="B458" s="3" t="s">
        <v>56</v>
      </c>
      <c r="C458" s="3" t="s">
        <v>45</v>
      </c>
      <c r="D458" s="3" t="s">
        <v>35</v>
      </c>
      <c r="E458" s="3" t="s">
        <v>32</v>
      </c>
      <c r="F458" s="3">
        <v>103</v>
      </c>
      <c r="G458" s="48">
        <v>13.42</v>
      </c>
      <c r="H458" s="48">
        <v>1382.26</v>
      </c>
      <c r="I458" s="3" t="s">
        <v>37</v>
      </c>
      <c r="J458" s="3" t="s">
        <v>29</v>
      </c>
      <c r="K458" s="3"/>
    </row>
    <row r="459" spans="1:11" x14ac:dyDescent="0.3">
      <c r="A459" s="4">
        <v>45819</v>
      </c>
      <c r="B459" s="5" t="s">
        <v>56</v>
      </c>
      <c r="C459" s="5" t="s">
        <v>38</v>
      </c>
      <c r="D459" s="5" t="s">
        <v>43</v>
      </c>
      <c r="E459" s="5" t="s">
        <v>44</v>
      </c>
      <c r="F459" s="5">
        <v>154</v>
      </c>
      <c r="G459" s="49">
        <v>121.37</v>
      </c>
      <c r="H459" s="49">
        <v>18690.98</v>
      </c>
      <c r="I459" s="5" t="s">
        <v>23</v>
      </c>
      <c r="J459" s="5" t="s">
        <v>29</v>
      </c>
      <c r="K459" s="5"/>
    </row>
    <row r="460" spans="1:11" x14ac:dyDescent="0.3">
      <c r="A460" s="2">
        <v>45819</v>
      </c>
      <c r="B460" s="3" t="s">
        <v>20</v>
      </c>
      <c r="C460" s="3" t="s">
        <v>30</v>
      </c>
      <c r="D460" s="3" t="s">
        <v>39</v>
      </c>
      <c r="E460" s="3" t="s">
        <v>40</v>
      </c>
      <c r="F460" s="3"/>
      <c r="G460" s="48"/>
      <c r="H460" s="48"/>
      <c r="I460" s="3" t="s">
        <v>28</v>
      </c>
      <c r="J460" s="3" t="s">
        <v>47</v>
      </c>
      <c r="K460" s="3" t="s">
        <v>17</v>
      </c>
    </row>
    <row r="461" spans="1:11" x14ac:dyDescent="0.3">
      <c r="A461" s="4">
        <v>45819</v>
      </c>
      <c r="B461" s="5" t="s">
        <v>56</v>
      </c>
      <c r="C461" s="5" t="s">
        <v>12</v>
      </c>
      <c r="D461" s="5" t="s">
        <v>59</v>
      </c>
      <c r="E461" s="5" t="s">
        <v>50</v>
      </c>
      <c r="F461" s="5">
        <v>192</v>
      </c>
      <c r="G461" s="49">
        <v>30.21</v>
      </c>
      <c r="H461" s="49">
        <v>5800.32</v>
      </c>
      <c r="I461" s="5" t="s">
        <v>41</v>
      </c>
      <c r="J461" s="5" t="s">
        <v>47</v>
      </c>
      <c r="K461" s="5"/>
    </row>
    <row r="462" spans="1:11" x14ac:dyDescent="0.3">
      <c r="A462" s="2">
        <v>45819</v>
      </c>
      <c r="B462" s="3" t="s">
        <v>56</v>
      </c>
      <c r="C462" s="3" t="s">
        <v>45</v>
      </c>
      <c r="D462" s="3" t="s">
        <v>52</v>
      </c>
      <c r="E462" s="3" t="s">
        <v>27</v>
      </c>
      <c r="F462" s="3">
        <v>41</v>
      </c>
      <c r="G462" s="48">
        <v>49.06</v>
      </c>
      <c r="H462" s="48">
        <v>2011.46</v>
      </c>
      <c r="I462" s="3" t="s">
        <v>41</v>
      </c>
      <c r="J462" s="3" t="s">
        <v>16</v>
      </c>
      <c r="K462" s="3" t="s">
        <v>33</v>
      </c>
    </row>
    <row r="463" spans="1:11" x14ac:dyDescent="0.3">
      <c r="A463" s="4">
        <v>45819</v>
      </c>
      <c r="B463" s="5" t="s">
        <v>56</v>
      </c>
      <c r="C463" s="5" t="s">
        <v>19</v>
      </c>
      <c r="D463" s="5" t="s">
        <v>49</v>
      </c>
      <c r="E463" s="5" t="s">
        <v>50</v>
      </c>
      <c r="F463" s="5">
        <v>34</v>
      </c>
      <c r="G463" s="49">
        <v>18.95</v>
      </c>
      <c r="H463" s="49">
        <v>644.29999999999995</v>
      </c>
      <c r="I463" s="5" t="s">
        <v>15</v>
      </c>
      <c r="J463" s="5" t="s">
        <v>16</v>
      </c>
      <c r="K463" s="5"/>
    </row>
    <row r="464" spans="1:11" x14ac:dyDescent="0.3">
      <c r="A464" s="2">
        <v>45820</v>
      </c>
      <c r="B464" s="3" t="s">
        <v>25</v>
      </c>
      <c r="C464" s="3" t="s">
        <v>45</v>
      </c>
      <c r="D464" s="3" t="s">
        <v>39</v>
      </c>
      <c r="E464" s="3" t="s">
        <v>40</v>
      </c>
      <c r="F464" s="3">
        <v>72</v>
      </c>
      <c r="G464" s="48">
        <v>53.94</v>
      </c>
      <c r="H464" s="48">
        <v>3883.68</v>
      </c>
      <c r="I464" s="3" t="s">
        <v>37</v>
      </c>
      <c r="J464" s="3" t="s">
        <v>47</v>
      </c>
      <c r="K464" s="3"/>
    </row>
    <row r="465" spans="1:11" x14ac:dyDescent="0.3">
      <c r="A465" s="4">
        <v>45820</v>
      </c>
      <c r="B465" s="5" t="s">
        <v>34</v>
      </c>
      <c r="C465" s="5" t="s">
        <v>45</v>
      </c>
      <c r="D465" s="5" t="s">
        <v>52</v>
      </c>
      <c r="E465" s="5" t="s">
        <v>27</v>
      </c>
      <c r="F465" s="5">
        <v>105</v>
      </c>
      <c r="G465" s="49">
        <v>44.51</v>
      </c>
      <c r="H465" s="49">
        <v>4673.55</v>
      </c>
      <c r="I465" s="5" t="s">
        <v>15</v>
      </c>
      <c r="J465" s="5" t="s">
        <v>29</v>
      </c>
      <c r="K465" s="5"/>
    </row>
    <row r="466" spans="1:11" x14ac:dyDescent="0.3">
      <c r="A466" s="2">
        <v>45820</v>
      </c>
      <c r="B466" s="3" t="s">
        <v>34</v>
      </c>
      <c r="C466" s="3" t="s">
        <v>19</v>
      </c>
      <c r="D466" s="3" t="s">
        <v>21</v>
      </c>
      <c r="E466" s="3" t="s">
        <v>22</v>
      </c>
      <c r="F466" s="3">
        <v>149</v>
      </c>
      <c r="G466" s="48">
        <v>9.8000000000000007</v>
      </c>
      <c r="H466" s="48">
        <v>1460.2</v>
      </c>
      <c r="I466" s="3" t="s">
        <v>23</v>
      </c>
      <c r="J466" s="3" t="s">
        <v>16</v>
      </c>
      <c r="K466" s="3"/>
    </row>
    <row r="467" spans="1:11" x14ac:dyDescent="0.3">
      <c r="A467" s="4">
        <v>45821</v>
      </c>
      <c r="B467" s="5" t="s">
        <v>53</v>
      </c>
      <c r="C467" s="5" t="s">
        <v>30</v>
      </c>
      <c r="D467" s="5" t="s">
        <v>39</v>
      </c>
      <c r="E467" s="5" t="s">
        <v>40</v>
      </c>
      <c r="F467" s="5">
        <v>80</v>
      </c>
      <c r="G467" s="49">
        <v>51.83</v>
      </c>
      <c r="H467" s="49">
        <v>4146.3999999999996</v>
      </c>
      <c r="I467" s="5" t="s">
        <v>15</v>
      </c>
      <c r="J467" s="5" t="s">
        <v>47</v>
      </c>
      <c r="K467" s="5"/>
    </row>
    <row r="468" spans="1:11" x14ac:dyDescent="0.3">
      <c r="A468" s="2">
        <v>45821</v>
      </c>
      <c r="B468" s="3" t="s">
        <v>34</v>
      </c>
      <c r="C468" s="3" t="s">
        <v>45</v>
      </c>
      <c r="D468" s="3" t="s">
        <v>26</v>
      </c>
      <c r="E468" s="3" t="s">
        <v>27</v>
      </c>
      <c r="F468" s="3">
        <v>170</v>
      </c>
      <c r="G468" s="48">
        <v>54.47</v>
      </c>
      <c r="H468" s="48">
        <v>9259.9</v>
      </c>
      <c r="I468" s="3" t="s">
        <v>37</v>
      </c>
      <c r="J468" s="3" t="s">
        <v>16</v>
      </c>
      <c r="K468" s="3"/>
    </row>
    <row r="469" spans="1:11" x14ac:dyDescent="0.3">
      <c r="A469" s="4">
        <v>45821</v>
      </c>
      <c r="B469" s="5" t="s">
        <v>18</v>
      </c>
      <c r="C469" s="5" t="s">
        <v>12</v>
      </c>
      <c r="D469" s="5" t="s">
        <v>60</v>
      </c>
      <c r="E469" s="5" t="s">
        <v>44</v>
      </c>
      <c r="F469" s="5">
        <v>198</v>
      </c>
      <c r="G469" s="49">
        <v>114.19</v>
      </c>
      <c r="H469" s="49">
        <v>22609.62</v>
      </c>
      <c r="I469" s="5" t="s">
        <v>23</v>
      </c>
      <c r="J469" s="5" t="s">
        <v>16</v>
      </c>
      <c r="K469" s="5"/>
    </row>
    <row r="470" spans="1:11" x14ac:dyDescent="0.3">
      <c r="A470" s="2">
        <v>45821</v>
      </c>
      <c r="B470" s="3" t="s">
        <v>25</v>
      </c>
      <c r="C470" s="3" t="s">
        <v>19</v>
      </c>
      <c r="D470" s="3" t="s">
        <v>54</v>
      </c>
      <c r="E470" s="3" t="s">
        <v>44</v>
      </c>
      <c r="F470" s="3">
        <v>89</v>
      </c>
      <c r="G470" s="48">
        <v>117.41</v>
      </c>
      <c r="H470" s="48">
        <v>10449.49</v>
      </c>
      <c r="I470" s="3" t="s">
        <v>41</v>
      </c>
      <c r="J470" s="3" t="s">
        <v>16</v>
      </c>
      <c r="K470" s="3"/>
    </row>
    <row r="471" spans="1:11" x14ac:dyDescent="0.3">
      <c r="A471" s="4">
        <v>45822</v>
      </c>
      <c r="B471" s="5" t="s">
        <v>11</v>
      </c>
      <c r="C471" s="5" t="s">
        <v>19</v>
      </c>
      <c r="D471" s="5" t="s">
        <v>52</v>
      </c>
      <c r="E471" s="5" t="s">
        <v>27</v>
      </c>
      <c r="F471" s="5">
        <v>36</v>
      </c>
      <c r="G471" s="49">
        <v>48.12</v>
      </c>
      <c r="H471" s="49">
        <v>1732.32</v>
      </c>
      <c r="I471" s="5" t="s">
        <v>28</v>
      </c>
      <c r="J471" s="5" t="s">
        <v>16</v>
      </c>
      <c r="K471" s="5"/>
    </row>
    <row r="472" spans="1:11" x14ac:dyDescent="0.3">
      <c r="A472" s="2">
        <v>45822</v>
      </c>
      <c r="B472" s="3" t="s">
        <v>34</v>
      </c>
      <c r="C472" s="3" t="s">
        <v>12</v>
      </c>
      <c r="D472" s="3" t="s">
        <v>35</v>
      </c>
      <c r="E472" s="3" t="s">
        <v>32</v>
      </c>
      <c r="F472" s="3">
        <v>185</v>
      </c>
      <c r="G472" s="48">
        <v>13.9</v>
      </c>
      <c r="H472" s="48">
        <v>2571.5</v>
      </c>
      <c r="I472" s="3" t="s">
        <v>41</v>
      </c>
      <c r="J472" s="3" t="s">
        <v>29</v>
      </c>
      <c r="K472" s="3"/>
    </row>
    <row r="473" spans="1:11" x14ac:dyDescent="0.3">
      <c r="A473" s="4">
        <v>45822</v>
      </c>
      <c r="B473" s="5" t="s">
        <v>18</v>
      </c>
      <c r="C473" s="5" t="s">
        <v>38</v>
      </c>
      <c r="D473" s="5" t="s">
        <v>48</v>
      </c>
      <c r="E473" s="5" t="s">
        <v>14</v>
      </c>
      <c r="F473" s="5">
        <v>107</v>
      </c>
      <c r="G473" s="49">
        <v>84.26</v>
      </c>
      <c r="H473" s="49">
        <v>9015.82</v>
      </c>
      <c r="I473" s="5" t="s">
        <v>15</v>
      </c>
      <c r="J473" s="5" t="s">
        <v>16</v>
      </c>
      <c r="K473" s="5"/>
    </row>
    <row r="474" spans="1:11" x14ac:dyDescent="0.3">
      <c r="A474" s="2">
        <v>45822</v>
      </c>
      <c r="B474" s="3" t="s">
        <v>34</v>
      </c>
      <c r="C474" s="3" t="s">
        <v>30</v>
      </c>
      <c r="D474" s="3" t="s">
        <v>39</v>
      </c>
      <c r="E474" s="3" t="s">
        <v>40</v>
      </c>
      <c r="F474" s="3">
        <v>157</v>
      </c>
      <c r="G474" s="48">
        <v>57.47</v>
      </c>
      <c r="H474" s="48">
        <v>9022.7900000000009</v>
      </c>
      <c r="I474" s="3" t="s">
        <v>23</v>
      </c>
      <c r="J474" s="3" t="s">
        <v>29</v>
      </c>
      <c r="K474" s="3"/>
    </row>
    <row r="475" spans="1:11" x14ac:dyDescent="0.3">
      <c r="A475" s="4">
        <v>45823</v>
      </c>
      <c r="B475" s="5" t="s">
        <v>18</v>
      </c>
      <c r="C475" s="5" t="s">
        <v>45</v>
      </c>
      <c r="D475" s="5" t="s">
        <v>48</v>
      </c>
      <c r="E475" s="5" t="s">
        <v>14</v>
      </c>
      <c r="F475" s="5">
        <v>14</v>
      </c>
      <c r="G475" s="49">
        <v>80.650000000000006</v>
      </c>
      <c r="H475" s="49">
        <v>1129.0999999999999</v>
      </c>
      <c r="I475" s="5" t="s">
        <v>15</v>
      </c>
      <c r="J475" s="5" t="s">
        <v>29</v>
      </c>
      <c r="K475" s="5"/>
    </row>
    <row r="476" spans="1:11" x14ac:dyDescent="0.3">
      <c r="A476" s="2">
        <v>45823</v>
      </c>
      <c r="B476" s="3" t="s">
        <v>51</v>
      </c>
      <c r="C476" s="3" t="s">
        <v>45</v>
      </c>
      <c r="D476" s="3" t="s">
        <v>58</v>
      </c>
      <c r="E476" s="3" t="s">
        <v>22</v>
      </c>
      <c r="F476" s="3">
        <v>183</v>
      </c>
      <c r="G476" s="48">
        <v>26.87</v>
      </c>
      <c r="H476" s="48">
        <v>4917.21</v>
      </c>
      <c r="I476" s="3" t="s">
        <v>23</v>
      </c>
      <c r="J476" s="3" t="s">
        <v>16</v>
      </c>
      <c r="K476" s="3" t="s">
        <v>46</v>
      </c>
    </row>
    <row r="477" spans="1:11" x14ac:dyDescent="0.3">
      <c r="A477" s="4">
        <v>45823</v>
      </c>
      <c r="B477" s="5" t="s">
        <v>20</v>
      </c>
      <c r="C477" s="5" t="s">
        <v>38</v>
      </c>
      <c r="D477" s="5" t="s">
        <v>31</v>
      </c>
      <c r="E477" s="5" t="s">
        <v>32</v>
      </c>
      <c r="F477" s="5">
        <v>176</v>
      </c>
      <c r="G477" s="49">
        <v>11.08</v>
      </c>
      <c r="H477" s="49">
        <v>1950.08</v>
      </c>
      <c r="I477" s="5" t="s">
        <v>23</v>
      </c>
      <c r="J477" s="5" t="s">
        <v>16</v>
      </c>
      <c r="K477" s="5"/>
    </row>
    <row r="478" spans="1:11" x14ac:dyDescent="0.3">
      <c r="A478" s="2">
        <v>45823</v>
      </c>
      <c r="B478" s="3" t="s">
        <v>18</v>
      </c>
      <c r="C478" s="3" t="s">
        <v>38</v>
      </c>
      <c r="D478" s="3" t="s">
        <v>52</v>
      </c>
      <c r="E478" s="3" t="s">
        <v>27</v>
      </c>
      <c r="F478" s="3">
        <v>188</v>
      </c>
      <c r="G478" s="48">
        <v>49.26</v>
      </c>
      <c r="H478" s="48">
        <v>9260.8799999999992</v>
      </c>
      <c r="I478" s="3" t="s">
        <v>37</v>
      </c>
      <c r="J478" s="3" t="s">
        <v>16</v>
      </c>
      <c r="K478" s="3" t="s">
        <v>24</v>
      </c>
    </row>
    <row r="479" spans="1:11" x14ac:dyDescent="0.3">
      <c r="A479" s="4">
        <v>45823</v>
      </c>
      <c r="B479" s="5" t="s">
        <v>53</v>
      </c>
      <c r="C479" s="5" t="s">
        <v>19</v>
      </c>
      <c r="D479" s="5" t="s">
        <v>49</v>
      </c>
      <c r="E479" s="5" t="s">
        <v>50</v>
      </c>
      <c r="F479" s="5">
        <v>45</v>
      </c>
      <c r="G479" s="49">
        <v>19.03</v>
      </c>
      <c r="H479" s="49">
        <v>856.35</v>
      </c>
      <c r="I479" s="5" t="s">
        <v>23</v>
      </c>
      <c r="J479" s="5" t="s">
        <v>16</v>
      </c>
      <c r="K479" s="5"/>
    </row>
    <row r="480" spans="1:11" x14ac:dyDescent="0.3">
      <c r="A480" s="2">
        <v>45823</v>
      </c>
      <c r="B480" s="3" t="s">
        <v>25</v>
      </c>
      <c r="C480" s="3" t="s">
        <v>12</v>
      </c>
      <c r="D480" s="3" t="s">
        <v>43</v>
      </c>
      <c r="E480" s="3" t="s">
        <v>44</v>
      </c>
      <c r="F480" s="3">
        <v>170</v>
      </c>
      <c r="G480" s="48">
        <v>137.6</v>
      </c>
      <c r="H480" s="48">
        <v>23392</v>
      </c>
      <c r="I480" s="3" t="s">
        <v>41</v>
      </c>
      <c r="J480" s="3" t="s">
        <v>29</v>
      </c>
      <c r="K480" s="3" t="s">
        <v>46</v>
      </c>
    </row>
    <row r="481" spans="1:11" x14ac:dyDescent="0.3">
      <c r="A481" s="4">
        <v>45823</v>
      </c>
      <c r="B481" s="5" t="s">
        <v>20</v>
      </c>
      <c r="C481" s="5" t="s">
        <v>38</v>
      </c>
      <c r="D481" s="5" t="s">
        <v>52</v>
      </c>
      <c r="E481" s="5" t="s">
        <v>27</v>
      </c>
      <c r="F481" s="5">
        <v>20</v>
      </c>
      <c r="G481" s="49">
        <v>49.23</v>
      </c>
      <c r="H481" s="49">
        <v>984.6</v>
      </c>
      <c r="I481" s="5" t="s">
        <v>28</v>
      </c>
      <c r="J481" s="5" t="s">
        <v>16</v>
      </c>
      <c r="K481" s="5"/>
    </row>
    <row r="482" spans="1:11" x14ac:dyDescent="0.3">
      <c r="A482" s="2">
        <v>45823</v>
      </c>
      <c r="B482" s="3" t="s">
        <v>36</v>
      </c>
      <c r="C482" s="3" t="s">
        <v>12</v>
      </c>
      <c r="D482" s="3" t="s">
        <v>21</v>
      </c>
      <c r="E482" s="3" t="s">
        <v>22</v>
      </c>
      <c r="F482" s="3">
        <v>97</v>
      </c>
      <c r="G482" s="48">
        <v>10.46</v>
      </c>
      <c r="H482" s="48">
        <v>1014.62</v>
      </c>
      <c r="I482" s="3" t="s">
        <v>23</v>
      </c>
      <c r="J482" s="3" t="s">
        <v>47</v>
      </c>
      <c r="K482" s="3" t="s">
        <v>24</v>
      </c>
    </row>
    <row r="483" spans="1:11" x14ac:dyDescent="0.3">
      <c r="A483" s="4">
        <v>45823</v>
      </c>
      <c r="B483" s="5" t="s">
        <v>56</v>
      </c>
      <c r="C483" s="5" t="s">
        <v>30</v>
      </c>
      <c r="D483" s="5" t="s">
        <v>39</v>
      </c>
      <c r="E483" s="5" t="s">
        <v>40</v>
      </c>
      <c r="F483" s="5">
        <v>181</v>
      </c>
      <c r="G483" s="49">
        <v>55.46</v>
      </c>
      <c r="H483" s="49">
        <v>10038.26</v>
      </c>
      <c r="I483" s="5" t="s">
        <v>37</v>
      </c>
      <c r="J483" s="5" t="s">
        <v>16</v>
      </c>
      <c r="K483" s="5" t="s">
        <v>46</v>
      </c>
    </row>
    <row r="484" spans="1:11" x14ac:dyDescent="0.3">
      <c r="A484" s="2">
        <v>45824</v>
      </c>
      <c r="B484" s="3" t="s">
        <v>25</v>
      </c>
      <c r="C484" s="3" t="s">
        <v>30</v>
      </c>
      <c r="D484" s="3" t="s">
        <v>43</v>
      </c>
      <c r="E484" s="3" t="s">
        <v>44</v>
      </c>
      <c r="F484" s="3">
        <v>188</v>
      </c>
      <c r="G484" s="48">
        <v>140.02000000000001</v>
      </c>
      <c r="H484" s="48">
        <v>26323.759999999998</v>
      </c>
      <c r="I484" s="3" t="s">
        <v>37</v>
      </c>
      <c r="J484" s="3" t="s">
        <v>47</v>
      </c>
      <c r="K484" s="3" t="s">
        <v>17</v>
      </c>
    </row>
    <row r="485" spans="1:11" x14ac:dyDescent="0.3">
      <c r="A485" s="4">
        <v>45825</v>
      </c>
      <c r="B485" s="5" t="s">
        <v>56</v>
      </c>
      <c r="C485" s="5" t="s">
        <v>45</v>
      </c>
      <c r="D485" s="5" t="s">
        <v>31</v>
      </c>
      <c r="E485" s="5" t="s">
        <v>32</v>
      </c>
      <c r="F485" s="5">
        <v>179</v>
      </c>
      <c r="G485" s="49">
        <v>12.73</v>
      </c>
      <c r="H485" s="49">
        <v>2278.67</v>
      </c>
      <c r="I485" s="5" t="s">
        <v>41</v>
      </c>
      <c r="J485" s="5" t="s">
        <v>47</v>
      </c>
      <c r="K485" s="5"/>
    </row>
    <row r="486" spans="1:11" x14ac:dyDescent="0.3">
      <c r="A486" s="2">
        <v>45825</v>
      </c>
      <c r="B486" s="3" t="s">
        <v>18</v>
      </c>
      <c r="C486" s="3" t="s">
        <v>38</v>
      </c>
      <c r="D486" s="3" t="s">
        <v>21</v>
      </c>
      <c r="E486" s="3" t="s">
        <v>22</v>
      </c>
      <c r="F486" s="3">
        <v>191</v>
      </c>
      <c r="G486" s="48">
        <v>9.6999999999999993</v>
      </c>
      <c r="H486" s="48">
        <v>1852.7</v>
      </c>
      <c r="I486" s="3" t="s">
        <v>15</v>
      </c>
      <c r="J486" s="3" t="s">
        <v>16</v>
      </c>
      <c r="K486" s="3" t="s">
        <v>46</v>
      </c>
    </row>
    <row r="487" spans="1:11" x14ac:dyDescent="0.3">
      <c r="A487" s="4">
        <v>45825</v>
      </c>
      <c r="B487" s="5" t="s">
        <v>11</v>
      </c>
      <c r="C487" s="5" t="s">
        <v>12</v>
      </c>
      <c r="D487" s="5" t="s">
        <v>58</v>
      </c>
      <c r="E487" s="5" t="s">
        <v>22</v>
      </c>
      <c r="F487" s="5">
        <v>61</v>
      </c>
      <c r="G487" s="49">
        <v>24.15</v>
      </c>
      <c r="H487" s="49">
        <v>1473.15</v>
      </c>
      <c r="I487" s="5" t="s">
        <v>15</v>
      </c>
      <c r="J487" s="5" t="s">
        <v>47</v>
      </c>
      <c r="K487" s="5" t="s">
        <v>46</v>
      </c>
    </row>
    <row r="488" spans="1:11" x14ac:dyDescent="0.3">
      <c r="A488" s="2">
        <v>45825</v>
      </c>
      <c r="B488" s="3" t="s">
        <v>36</v>
      </c>
      <c r="C488" s="3" t="s">
        <v>19</v>
      </c>
      <c r="D488" s="3" t="s">
        <v>54</v>
      </c>
      <c r="E488" s="3" t="s">
        <v>44</v>
      </c>
      <c r="F488" s="3">
        <v>105</v>
      </c>
      <c r="G488" s="48">
        <v>112.62</v>
      </c>
      <c r="H488" s="48">
        <v>11825.1</v>
      </c>
      <c r="I488" s="3" t="s">
        <v>15</v>
      </c>
      <c r="J488" s="3" t="s">
        <v>16</v>
      </c>
      <c r="K488" s="3"/>
    </row>
    <row r="489" spans="1:11" x14ac:dyDescent="0.3">
      <c r="A489" s="4">
        <v>45826</v>
      </c>
      <c r="B489" s="5" t="s">
        <v>11</v>
      </c>
      <c r="C489" s="5" t="s">
        <v>45</v>
      </c>
      <c r="D489" s="5" t="s">
        <v>43</v>
      </c>
      <c r="E489" s="5" t="s">
        <v>44</v>
      </c>
      <c r="F489" s="5">
        <v>77</v>
      </c>
      <c r="G489" s="49">
        <v>132.22</v>
      </c>
      <c r="H489" s="49">
        <v>10180.94</v>
      </c>
      <c r="I489" s="5" t="s">
        <v>28</v>
      </c>
      <c r="J489" s="5" t="s">
        <v>16</v>
      </c>
      <c r="K489" s="5" t="s">
        <v>42</v>
      </c>
    </row>
    <row r="490" spans="1:11" x14ac:dyDescent="0.3">
      <c r="A490" s="2">
        <v>45826</v>
      </c>
      <c r="B490" s="3" t="s">
        <v>20</v>
      </c>
      <c r="C490" s="3" t="s">
        <v>12</v>
      </c>
      <c r="D490" s="3" t="s">
        <v>48</v>
      </c>
      <c r="E490" s="3" t="s">
        <v>14</v>
      </c>
      <c r="F490" s="3">
        <v>81</v>
      </c>
      <c r="G490" s="48">
        <v>91.35</v>
      </c>
      <c r="H490" s="48">
        <v>7399.35</v>
      </c>
      <c r="I490" s="3" t="s">
        <v>15</v>
      </c>
      <c r="J490" s="3" t="s">
        <v>29</v>
      </c>
      <c r="K490" s="3" t="s">
        <v>42</v>
      </c>
    </row>
    <row r="491" spans="1:11" x14ac:dyDescent="0.3">
      <c r="A491" s="4">
        <v>45826</v>
      </c>
      <c r="B491" s="5" t="s">
        <v>34</v>
      </c>
      <c r="C491" s="5" t="s">
        <v>38</v>
      </c>
      <c r="D491" s="5" t="s">
        <v>52</v>
      </c>
      <c r="E491" s="5" t="s">
        <v>27</v>
      </c>
      <c r="F491" s="5">
        <v>165</v>
      </c>
      <c r="G491" s="49">
        <v>49.9</v>
      </c>
      <c r="H491" s="49">
        <v>8233.5</v>
      </c>
      <c r="I491" s="5" t="s">
        <v>37</v>
      </c>
      <c r="J491" s="5" t="s">
        <v>47</v>
      </c>
      <c r="K491" s="5"/>
    </row>
    <row r="492" spans="1:11" x14ac:dyDescent="0.3">
      <c r="A492" s="2">
        <v>45826</v>
      </c>
      <c r="B492" s="3" t="s">
        <v>72</v>
      </c>
      <c r="C492" s="3" t="s">
        <v>38</v>
      </c>
      <c r="D492" s="3" t="s">
        <v>39</v>
      </c>
      <c r="E492" s="3" t="s">
        <v>40</v>
      </c>
      <c r="F492" s="3">
        <v>185</v>
      </c>
      <c r="G492" s="48">
        <v>54.59</v>
      </c>
      <c r="H492" s="48">
        <v>10099.15</v>
      </c>
      <c r="I492" s="3" t="s">
        <v>23</v>
      </c>
      <c r="J492" s="3" t="s">
        <v>29</v>
      </c>
      <c r="K492" s="3" t="s">
        <v>46</v>
      </c>
    </row>
    <row r="493" spans="1:11" x14ac:dyDescent="0.3">
      <c r="A493" s="4">
        <v>45826</v>
      </c>
      <c r="B493" s="5" t="s">
        <v>34</v>
      </c>
      <c r="C493" s="5" t="s">
        <v>30</v>
      </c>
      <c r="D493" s="5" t="s">
        <v>21</v>
      </c>
      <c r="E493" s="5" t="s">
        <v>22</v>
      </c>
      <c r="F493" s="5">
        <v>89</v>
      </c>
      <c r="G493" s="49">
        <v>9.5399999999999991</v>
      </c>
      <c r="H493" s="49">
        <v>849.06</v>
      </c>
      <c r="I493" s="5" t="s">
        <v>41</v>
      </c>
      <c r="J493" s="5" t="s">
        <v>47</v>
      </c>
      <c r="K493" s="5"/>
    </row>
    <row r="494" spans="1:11" x14ac:dyDescent="0.3">
      <c r="A494" s="2">
        <v>45826</v>
      </c>
      <c r="B494" s="3" t="s">
        <v>25</v>
      </c>
      <c r="C494" s="3" t="s">
        <v>30</v>
      </c>
      <c r="D494" s="3" t="s">
        <v>39</v>
      </c>
      <c r="E494" s="3" t="s">
        <v>40</v>
      </c>
      <c r="F494" s="3">
        <v>57</v>
      </c>
      <c r="G494" s="48">
        <v>54.71</v>
      </c>
      <c r="H494" s="48">
        <v>3118.47</v>
      </c>
      <c r="I494" s="3" t="s">
        <v>41</v>
      </c>
      <c r="J494" s="3" t="s">
        <v>16</v>
      </c>
      <c r="K494" s="3" t="s">
        <v>42</v>
      </c>
    </row>
    <row r="495" spans="1:11" x14ac:dyDescent="0.3">
      <c r="A495" s="4">
        <v>45827</v>
      </c>
      <c r="B495" s="5" t="s">
        <v>36</v>
      </c>
      <c r="C495" s="5" t="s">
        <v>12</v>
      </c>
      <c r="D495" s="5" t="s">
        <v>52</v>
      </c>
      <c r="E495" s="5" t="s">
        <v>27</v>
      </c>
      <c r="F495" s="5">
        <v>145</v>
      </c>
      <c r="G495" s="49">
        <v>51.81</v>
      </c>
      <c r="H495" s="49">
        <v>7512.45</v>
      </c>
      <c r="I495" s="5" t="s">
        <v>37</v>
      </c>
      <c r="J495" s="5" t="s">
        <v>29</v>
      </c>
      <c r="K495" s="5"/>
    </row>
    <row r="496" spans="1:11" x14ac:dyDescent="0.3">
      <c r="A496" s="2">
        <v>45827</v>
      </c>
      <c r="B496" s="3" t="s">
        <v>53</v>
      </c>
      <c r="C496" s="3" t="s">
        <v>38</v>
      </c>
      <c r="D496" s="3" t="s">
        <v>35</v>
      </c>
      <c r="E496" s="3" t="s">
        <v>32</v>
      </c>
      <c r="F496" s="3">
        <v>54</v>
      </c>
      <c r="G496" s="48">
        <v>13.23</v>
      </c>
      <c r="H496" s="48">
        <v>714.42</v>
      </c>
      <c r="I496" s="3" t="s">
        <v>28</v>
      </c>
      <c r="J496" s="3" t="s">
        <v>29</v>
      </c>
      <c r="K496" s="3" t="s">
        <v>24</v>
      </c>
    </row>
    <row r="497" spans="1:11" x14ac:dyDescent="0.3">
      <c r="A497" s="4">
        <v>45827</v>
      </c>
      <c r="B497" s="5" t="s">
        <v>25</v>
      </c>
      <c r="C497" s="5" t="s">
        <v>12</v>
      </c>
      <c r="D497" s="5" t="s">
        <v>60</v>
      </c>
      <c r="E497" s="5" t="s">
        <v>44</v>
      </c>
      <c r="F497" s="5">
        <v>42</v>
      </c>
      <c r="G497" s="49">
        <v>121.73</v>
      </c>
      <c r="H497" s="49">
        <v>5112.66</v>
      </c>
      <c r="I497" s="5" t="s">
        <v>37</v>
      </c>
      <c r="J497" s="5" t="s">
        <v>29</v>
      </c>
      <c r="K497" s="5"/>
    </row>
    <row r="498" spans="1:11" x14ac:dyDescent="0.3">
      <c r="A498" s="2">
        <v>45827</v>
      </c>
      <c r="B498" s="3" t="s">
        <v>18</v>
      </c>
      <c r="C498" s="3" t="s">
        <v>45</v>
      </c>
      <c r="D498" s="3" t="s">
        <v>59</v>
      </c>
      <c r="E498" s="3" t="s">
        <v>50</v>
      </c>
      <c r="F498" s="3">
        <v>14</v>
      </c>
      <c r="G498" s="48">
        <v>27.92</v>
      </c>
      <c r="H498" s="48">
        <v>390.88</v>
      </c>
      <c r="I498" s="3" t="s">
        <v>37</v>
      </c>
      <c r="J498" s="3" t="s">
        <v>16</v>
      </c>
      <c r="K498" s="3" t="s">
        <v>17</v>
      </c>
    </row>
    <row r="499" spans="1:11" x14ac:dyDescent="0.3">
      <c r="A499" s="4">
        <v>45827</v>
      </c>
      <c r="B499" s="5" t="s">
        <v>11</v>
      </c>
      <c r="C499" s="5" t="s">
        <v>12</v>
      </c>
      <c r="D499" s="5" t="s">
        <v>35</v>
      </c>
      <c r="E499" s="5" t="s">
        <v>32</v>
      </c>
      <c r="F499" s="5">
        <v>85</v>
      </c>
      <c r="G499" s="49">
        <v>13.98</v>
      </c>
      <c r="H499" s="49">
        <v>1188.3</v>
      </c>
      <c r="I499" s="5" t="s">
        <v>28</v>
      </c>
      <c r="J499" s="5" t="s">
        <v>47</v>
      </c>
      <c r="K499" s="5"/>
    </row>
    <row r="500" spans="1:11" x14ac:dyDescent="0.3">
      <c r="A500" s="2">
        <v>45827</v>
      </c>
      <c r="B500" s="3" t="s">
        <v>20</v>
      </c>
      <c r="C500" s="3" t="s">
        <v>45</v>
      </c>
      <c r="D500" s="3" t="s">
        <v>60</v>
      </c>
      <c r="E500" s="3" t="s">
        <v>44</v>
      </c>
      <c r="F500" s="3">
        <v>144</v>
      </c>
      <c r="G500" s="48">
        <v>113.87</v>
      </c>
      <c r="H500" s="48">
        <v>16397.28</v>
      </c>
      <c r="I500" s="3" t="s">
        <v>41</v>
      </c>
      <c r="J500" s="3" t="s">
        <v>29</v>
      </c>
      <c r="K500" s="3"/>
    </row>
    <row r="501" spans="1:11" x14ac:dyDescent="0.3">
      <c r="A501" s="4">
        <v>45828</v>
      </c>
      <c r="B501" s="5" t="s">
        <v>36</v>
      </c>
      <c r="C501" s="5" t="s">
        <v>30</v>
      </c>
      <c r="D501" s="5" t="s">
        <v>52</v>
      </c>
      <c r="E501" s="5" t="s">
        <v>27</v>
      </c>
      <c r="F501" s="5">
        <v>148</v>
      </c>
      <c r="G501" s="49">
        <v>46.46</v>
      </c>
      <c r="H501" s="49">
        <v>6876.08</v>
      </c>
      <c r="I501" s="5" t="s">
        <v>37</v>
      </c>
      <c r="J501" s="5" t="s">
        <v>16</v>
      </c>
      <c r="K501" s="5"/>
    </row>
    <row r="502" spans="1:11" x14ac:dyDescent="0.3">
      <c r="A502" s="2">
        <v>45828</v>
      </c>
      <c r="B502" s="3" t="s">
        <v>25</v>
      </c>
      <c r="C502" s="3" t="s">
        <v>12</v>
      </c>
      <c r="D502" s="3" t="s">
        <v>31</v>
      </c>
      <c r="E502" s="3" t="s">
        <v>32</v>
      </c>
      <c r="F502" s="3">
        <v>197</v>
      </c>
      <c r="G502" s="48">
        <v>11.28</v>
      </c>
      <c r="H502" s="48">
        <v>2222.16</v>
      </c>
      <c r="I502" s="3" t="s">
        <v>37</v>
      </c>
      <c r="J502" s="3" t="s">
        <v>47</v>
      </c>
      <c r="K502" s="3"/>
    </row>
    <row r="503" spans="1:11" x14ac:dyDescent="0.3">
      <c r="A503" s="4">
        <v>45829</v>
      </c>
      <c r="B503" s="5" t="s">
        <v>20</v>
      </c>
      <c r="C503" s="5" t="s">
        <v>38</v>
      </c>
      <c r="D503" s="5" t="s">
        <v>60</v>
      </c>
      <c r="E503" s="5" t="s">
        <v>44</v>
      </c>
      <c r="F503" s="5">
        <v>35</v>
      </c>
      <c r="G503" s="49">
        <v>124.17</v>
      </c>
      <c r="H503" s="49">
        <v>4345.95</v>
      </c>
      <c r="I503" s="5" t="s">
        <v>28</v>
      </c>
      <c r="J503" s="5" t="s">
        <v>16</v>
      </c>
      <c r="K503" s="5"/>
    </row>
    <row r="504" spans="1:11" x14ac:dyDescent="0.3">
      <c r="A504" s="2">
        <v>45830</v>
      </c>
      <c r="B504" s="3" t="s">
        <v>20</v>
      </c>
      <c r="C504" s="3" t="s">
        <v>12</v>
      </c>
      <c r="D504" s="3" t="s">
        <v>60</v>
      </c>
      <c r="E504" s="3" t="s">
        <v>44</v>
      </c>
      <c r="F504" s="3">
        <v>168</v>
      </c>
      <c r="G504" s="48">
        <v>121.18</v>
      </c>
      <c r="H504" s="48">
        <v>20358.240000000002</v>
      </c>
      <c r="I504" s="3" t="s">
        <v>28</v>
      </c>
      <c r="J504" s="3" t="s">
        <v>16</v>
      </c>
      <c r="K504" s="3" t="s">
        <v>24</v>
      </c>
    </row>
    <row r="505" spans="1:11" x14ac:dyDescent="0.3">
      <c r="A505" s="4">
        <v>45831</v>
      </c>
      <c r="B505" s="5" t="s">
        <v>18</v>
      </c>
      <c r="C505" s="5" t="s">
        <v>19</v>
      </c>
      <c r="D505" s="5" t="s">
        <v>31</v>
      </c>
      <c r="E505" s="5" t="s">
        <v>32</v>
      </c>
      <c r="F505" s="5">
        <v>195</v>
      </c>
      <c r="G505" s="49">
        <v>12.89</v>
      </c>
      <c r="H505" s="49">
        <v>2513.5500000000002</v>
      </c>
      <c r="I505" s="5" t="s">
        <v>41</v>
      </c>
      <c r="J505" s="5" t="s">
        <v>16</v>
      </c>
      <c r="K505" s="5" t="s">
        <v>42</v>
      </c>
    </row>
    <row r="506" spans="1:11" x14ac:dyDescent="0.3">
      <c r="A506" s="2">
        <v>45832</v>
      </c>
      <c r="B506" s="3" t="s">
        <v>53</v>
      </c>
      <c r="C506" s="3" t="s">
        <v>45</v>
      </c>
      <c r="D506" s="3" t="s">
        <v>59</v>
      </c>
      <c r="E506" s="3" t="s">
        <v>50</v>
      </c>
      <c r="F506" s="3">
        <v>78</v>
      </c>
      <c r="G506" s="48">
        <v>29.23</v>
      </c>
      <c r="H506" s="48">
        <v>2279.94</v>
      </c>
      <c r="I506" s="3" t="s">
        <v>23</v>
      </c>
      <c r="J506" s="3" t="s">
        <v>16</v>
      </c>
      <c r="K506" s="3" t="s">
        <v>24</v>
      </c>
    </row>
    <row r="507" spans="1:11" x14ac:dyDescent="0.3">
      <c r="A507" s="4">
        <v>45832</v>
      </c>
      <c r="B507" s="5" t="s">
        <v>53</v>
      </c>
      <c r="C507" s="5" t="s">
        <v>45</v>
      </c>
      <c r="D507" s="5" t="s">
        <v>26</v>
      </c>
      <c r="E507" s="5" t="s">
        <v>27</v>
      </c>
      <c r="F507" s="5">
        <v>145</v>
      </c>
      <c r="G507" s="49">
        <v>51.29</v>
      </c>
      <c r="H507" s="49">
        <v>7437.05</v>
      </c>
      <c r="I507" s="5" t="s">
        <v>37</v>
      </c>
      <c r="J507" s="5" t="s">
        <v>70</v>
      </c>
      <c r="K507" s="5" t="s">
        <v>46</v>
      </c>
    </row>
    <row r="508" spans="1:11" x14ac:dyDescent="0.3">
      <c r="A508" s="2">
        <v>45832</v>
      </c>
      <c r="B508" s="3" t="s">
        <v>36</v>
      </c>
      <c r="C508" s="3" t="s">
        <v>30</v>
      </c>
      <c r="D508" s="3" t="s">
        <v>35</v>
      </c>
      <c r="E508" s="3" t="s">
        <v>32</v>
      </c>
      <c r="F508" s="3">
        <v>100</v>
      </c>
      <c r="G508" s="48">
        <v>14.83</v>
      </c>
      <c r="H508" s="48">
        <v>1483</v>
      </c>
      <c r="I508" s="3" t="s">
        <v>28</v>
      </c>
      <c r="J508" s="3" t="s">
        <v>16</v>
      </c>
      <c r="K508" s="3"/>
    </row>
    <row r="509" spans="1:11" x14ac:dyDescent="0.3">
      <c r="A509" s="4">
        <v>45832</v>
      </c>
      <c r="B509" s="5" t="s">
        <v>34</v>
      </c>
      <c r="C509" s="5" t="s">
        <v>38</v>
      </c>
      <c r="D509" s="5" t="s">
        <v>49</v>
      </c>
      <c r="E509" s="5" t="s">
        <v>50</v>
      </c>
      <c r="F509" s="5">
        <v>25</v>
      </c>
      <c r="G509" s="49">
        <v>19.34</v>
      </c>
      <c r="H509" s="49">
        <v>483.5</v>
      </c>
      <c r="I509" s="5" t="s">
        <v>37</v>
      </c>
      <c r="J509" s="5" t="s">
        <v>47</v>
      </c>
      <c r="K509" s="5" t="s">
        <v>46</v>
      </c>
    </row>
    <row r="510" spans="1:11" x14ac:dyDescent="0.3">
      <c r="A510" s="2">
        <v>45832</v>
      </c>
      <c r="B510" s="3" t="s">
        <v>20</v>
      </c>
      <c r="C510" s="3" t="s">
        <v>12</v>
      </c>
      <c r="D510" s="3" t="s">
        <v>39</v>
      </c>
      <c r="E510" s="3" t="s">
        <v>40</v>
      </c>
      <c r="F510" s="3">
        <v>61</v>
      </c>
      <c r="G510" s="48">
        <v>52.73</v>
      </c>
      <c r="H510" s="48">
        <v>3216.53</v>
      </c>
      <c r="I510" s="3" t="s">
        <v>15</v>
      </c>
      <c r="J510" s="3" t="s">
        <v>16</v>
      </c>
      <c r="K510" s="3"/>
    </row>
    <row r="511" spans="1:11" x14ac:dyDescent="0.3">
      <c r="A511" s="4">
        <v>45832</v>
      </c>
      <c r="B511" s="5" t="s">
        <v>36</v>
      </c>
      <c r="C511" s="5" t="s">
        <v>19</v>
      </c>
      <c r="D511" s="5" t="s">
        <v>21</v>
      </c>
      <c r="E511" s="5" t="s">
        <v>22</v>
      </c>
      <c r="F511" s="5">
        <v>183</v>
      </c>
      <c r="G511" s="49">
        <v>10.71</v>
      </c>
      <c r="H511" s="49">
        <v>1959.93</v>
      </c>
      <c r="I511" s="5" t="s">
        <v>28</v>
      </c>
      <c r="J511" s="5" t="s">
        <v>16</v>
      </c>
      <c r="K511" s="5" t="s">
        <v>46</v>
      </c>
    </row>
    <row r="512" spans="1:11" x14ac:dyDescent="0.3">
      <c r="A512" s="2">
        <v>45832</v>
      </c>
      <c r="B512" s="3" t="s">
        <v>53</v>
      </c>
      <c r="C512" s="3" t="s">
        <v>12</v>
      </c>
      <c r="D512" s="3" t="s">
        <v>48</v>
      </c>
      <c r="E512" s="3" t="s">
        <v>14</v>
      </c>
      <c r="F512" s="3">
        <v>161</v>
      </c>
      <c r="G512" s="48">
        <v>79.64</v>
      </c>
      <c r="H512" s="48">
        <v>12822.04</v>
      </c>
      <c r="I512" s="3" t="s">
        <v>41</v>
      </c>
      <c r="J512" s="3" t="s">
        <v>57</v>
      </c>
      <c r="K512" s="3" t="s">
        <v>17</v>
      </c>
    </row>
    <row r="513" spans="1:11" x14ac:dyDescent="0.3">
      <c r="A513" s="4">
        <v>45833</v>
      </c>
      <c r="B513" s="5" t="s">
        <v>25</v>
      </c>
      <c r="C513" s="5" t="s">
        <v>30</v>
      </c>
      <c r="D513" s="5" t="s">
        <v>26</v>
      </c>
      <c r="E513" s="5" t="s">
        <v>27</v>
      </c>
      <c r="F513" s="5">
        <v>193</v>
      </c>
      <c r="G513" s="49">
        <v>51.37</v>
      </c>
      <c r="H513" s="49">
        <v>9914.41</v>
      </c>
      <c r="I513" s="5" t="s">
        <v>28</v>
      </c>
      <c r="J513" s="5" t="s">
        <v>47</v>
      </c>
      <c r="K513" s="5" t="s">
        <v>24</v>
      </c>
    </row>
    <row r="514" spans="1:11" x14ac:dyDescent="0.3">
      <c r="A514" s="2">
        <v>45833</v>
      </c>
      <c r="B514" s="3" t="s">
        <v>18</v>
      </c>
      <c r="C514" s="3" t="s">
        <v>38</v>
      </c>
      <c r="D514" s="3" t="s">
        <v>21</v>
      </c>
      <c r="E514" s="3" t="s">
        <v>22</v>
      </c>
      <c r="F514" s="3">
        <v>34</v>
      </c>
      <c r="G514" s="48">
        <v>10.64</v>
      </c>
      <c r="H514" s="48">
        <v>361.76</v>
      </c>
      <c r="I514" s="3" t="s">
        <v>37</v>
      </c>
      <c r="J514" s="3" t="s">
        <v>47</v>
      </c>
      <c r="K514" s="3" t="s">
        <v>17</v>
      </c>
    </row>
    <row r="515" spans="1:11" x14ac:dyDescent="0.3">
      <c r="A515" s="4">
        <v>45833</v>
      </c>
      <c r="B515" s="5" t="s">
        <v>53</v>
      </c>
      <c r="C515" s="5" t="s">
        <v>30</v>
      </c>
      <c r="D515" s="5" t="s">
        <v>58</v>
      </c>
      <c r="E515" s="5" t="s">
        <v>22</v>
      </c>
      <c r="F515" s="5">
        <v>115</v>
      </c>
      <c r="G515" s="49">
        <v>24.39</v>
      </c>
      <c r="H515" s="49">
        <v>2804.85</v>
      </c>
      <c r="I515" s="5" t="s">
        <v>23</v>
      </c>
      <c r="J515" s="5" t="s">
        <v>16</v>
      </c>
      <c r="K515" s="5" t="s">
        <v>42</v>
      </c>
    </row>
    <row r="516" spans="1:11" x14ac:dyDescent="0.3">
      <c r="A516" s="2">
        <v>45834</v>
      </c>
      <c r="B516" s="3" t="s">
        <v>25</v>
      </c>
      <c r="C516" s="3" t="s">
        <v>12</v>
      </c>
      <c r="D516" s="3" t="s">
        <v>59</v>
      </c>
      <c r="E516" s="3" t="s">
        <v>50</v>
      </c>
      <c r="F516" s="3">
        <v>47</v>
      </c>
      <c r="G516" s="48">
        <v>30.31</v>
      </c>
      <c r="H516" s="48">
        <v>1424.57</v>
      </c>
      <c r="I516" s="3" t="s">
        <v>37</v>
      </c>
      <c r="J516" s="3" t="s">
        <v>70</v>
      </c>
      <c r="K516" s="3" t="s">
        <v>42</v>
      </c>
    </row>
    <row r="517" spans="1:11" x14ac:dyDescent="0.3">
      <c r="A517" s="4">
        <v>45835</v>
      </c>
      <c r="B517" s="5" t="s">
        <v>25</v>
      </c>
      <c r="C517" s="5" t="s">
        <v>12</v>
      </c>
      <c r="D517" s="5" t="s">
        <v>60</v>
      </c>
      <c r="E517" s="5" t="s">
        <v>44</v>
      </c>
      <c r="F517" s="5">
        <v>115</v>
      </c>
      <c r="G517" s="49">
        <v>124.22</v>
      </c>
      <c r="H517" s="49">
        <v>14285.3</v>
      </c>
      <c r="I517" s="5" t="s">
        <v>37</v>
      </c>
      <c r="J517" s="5" t="s">
        <v>29</v>
      </c>
      <c r="K517" s="5" t="s">
        <v>17</v>
      </c>
    </row>
    <row r="518" spans="1:11" x14ac:dyDescent="0.3">
      <c r="A518" s="2">
        <v>45835</v>
      </c>
      <c r="B518" s="3" t="s">
        <v>20</v>
      </c>
      <c r="C518" s="3" t="s">
        <v>30</v>
      </c>
      <c r="D518" s="3" t="s">
        <v>58</v>
      </c>
      <c r="E518" s="3" t="s">
        <v>22</v>
      </c>
      <c r="F518" s="3">
        <v>40</v>
      </c>
      <c r="G518" s="48">
        <v>23.64</v>
      </c>
      <c r="H518" s="48">
        <v>945.6</v>
      </c>
      <c r="I518" s="3" t="s">
        <v>41</v>
      </c>
      <c r="J518" s="3" t="s">
        <v>16</v>
      </c>
      <c r="K518" s="3" t="s">
        <v>24</v>
      </c>
    </row>
    <row r="519" spans="1:11" x14ac:dyDescent="0.3">
      <c r="A519" s="4">
        <v>45835</v>
      </c>
      <c r="B519" s="5" t="s">
        <v>53</v>
      </c>
      <c r="C519" s="5" t="s">
        <v>19</v>
      </c>
      <c r="D519" s="5" t="s">
        <v>52</v>
      </c>
      <c r="E519" s="5" t="s">
        <v>27</v>
      </c>
      <c r="F519" s="5">
        <v>197</v>
      </c>
      <c r="G519" s="49">
        <v>50.65</v>
      </c>
      <c r="H519" s="49">
        <v>9978.0499999999993</v>
      </c>
      <c r="I519" s="5" t="s">
        <v>37</v>
      </c>
      <c r="J519" s="5" t="s">
        <v>67</v>
      </c>
      <c r="K519" s="5" t="s">
        <v>42</v>
      </c>
    </row>
    <row r="520" spans="1:11" x14ac:dyDescent="0.3">
      <c r="A520" s="2">
        <v>45836</v>
      </c>
      <c r="B520" s="3" t="s">
        <v>18</v>
      </c>
      <c r="C520" s="3" t="s">
        <v>19</v>
      </c>
      <c r="D520" s="3" t="s">
        <v>31</v>
      </c>
      <c r="E520" s="3" t="s">
        <v>32</v>
      </c>
      <c r="F520" s="3">
        <v>49</v>
      </c>
      <c r="G520" s="48">
        <v>12.51</v>
      </c>
      <c r="H520" s="48">
        <v>612.99</v>
      </c>
      <c r="I520" s="3" t="s">
        <v>28</v>
      </c>
      <c r="J520" s="3" t="s">
        <v>16</v>
      </c>
      <c r="K520" s="3"/>
    </row>
    <row r="521" spans="1:11" x14ac:dyDescent="0.3">
      <c r="A521" s="4">
        <v>45836</v>
      </c>
      <c r="B521" s="5" t="s">
        <v>11</v>
      </c>
      <c r="C521" s="5" t="s">
        <v>38</v>
      </c>
      <c r="D521" s="5" t="s">
        <v>59</v>
      </c>
      <c r="E521" s="5" t="s">
        <v>50</v>
      </c>
      <c r="F521" s="5">
        <v>44</v>
      </c>
      <c r="G521" s="49">
        <v>31.33</v>
      </c>
      <c r="H521" s="49">
        <v>1378.52</v>
      </c>
      <c r="I521" s="5" t="s">
        <v>41</v>
      </c>
      <c r="J521" s="5" t="s">
        <v>16</v>
      </c>
      <c r="K521" s="5" t="s">
        <v>42</v>
      </c>
    </row>
    <row r="522" spans="1:11" x14ac:dyDescent="0.3">
      <c r="A522" s="2">
        <v>45836</v>
      </c>
      <c r="B522" s="3" t="s">
        <v>18</v>
      </c>
      <c r="C522" s="3" t="s">
        <v>38</v>
      </c>
      <c r="D522" s="3" t="s">
        <v>60</v>
      </c>
      <c r="E522" s="3" t="s">
        <v>44</v>
      </c>
      <c r="F522" s="3">
        <v>72</v>
      </c>
      <c r="G522" s="48">
        <v>118.74</v>
      </c>
      <c r="H522" s="48">
        <v>8549.2800000000007</v>
      </c>
      <c r="I522" s="3" t="s">
        <v>15</v>
      </c>
      <c r="J522" s="3" t="s">
        <v>16</v>
      </c>
      <c r="K522" s="3"/>
    </row>
    <row r="523" spans="1:11" x14ac:dyDescent="0.3">
      <c r="A523" s="4">
        <v>45837</v>
      </c>
      <c r="B523" s="5" t="s">
        <v>36</v>
      </c>
      <c r="C523" s="5" t="s">
        <v>19</v>
      </c>
      <c r="D523" s="5" t="s">
        <v>26</v>
      </c>
      <c r="E523" s="5" t="s">
        <v>27</v>
      </c>
      <c r="F523" s="5">
        <v>79</v>
      </c>
      <c r="G523" s="49">
        <v>58.9</v>
      </c>
      <c r="H523" s="49">
        <v>4653.1000000000004</v>
      </c>
      <c r="I523" s="5" t="s">
        <v>41</v>
      </c>
      <c r="J523" s="5" t="s">
        <v>16</v>
      </c>
      <c r="K523" s="5" t="s">
        <v>17</v>
      </c>
    </row>
    <row r="524" spans="1:11" x14ac:dyDescent="0.3">
      <c r="A524" s="2">
        <v>45837</v>
      </c>
      <c r="B524" s="3" t="s">
        <v>18</v>
      </c>
      <c r="C524" s="3" t="s">
        <v>19</v>
      </c>
      <c r="D524" s="3" t="s">
        <v>39</v>
      </c>
      <c r="E524" s="3" t="s">
        <v>40</v>
      </c>
      <c r="F524" s="3">
        <v>107</v>
      </c>
      <c r="G524" s="48">
        <v>54.43</v>
      </c>
      <c r="H524" s="48">
        <v>5824.01</v>
      </c>
      <c r="I524" s="3" t="s">
        <v>28</v>
      </c>
      <c r="J524" s="3" t="s">
        <v>16</v>
      </c>
      <c r="K524" s="3" t="s">
        <v>42</v>
      </c>
    </row>
    <row r="525" spans="1:11" x14ac:dyDescent="0.3">
      <c r="A525" s="4">
        <v>45837</v>
      </c>
      <c r="B525" s="5" t="s">
        <v>53</v>
      </c>
      <c r="C525" s="5" t="s">
        <v>19</v>
      </c>
      <c r="D525" s="5" t="s">
        <v>52</v>
      </c>
      <c r="E525" s="5" t="s">
        <v>27</v>
      </c>
      <c r="F525" s="5">
        <v>118</v>
      </c>
      <c r="G525" s="49">
        <v>46.05</v>
      </c>
      <c r="H525" s="49">
        <v>5433.9</v>
      </c>
      <c r="I525" s="5" t="s">
        <v>15</v>
      </c>
      <c r="J525" s="5" t="s">
        <v>16</v>
      </c>
      <c r="K525" s="5" t="s">
        <v>24</v>
      </c>
    </row>
    <row r="526" spans="1:11" x14ac:dyDescent="0.3">
      <c r="A526" s="3" t="s">
        <v>78</v>
      </c>
      <c r="B526" s="3" t="s">
        <v>34</v>
      </c>
      <c r="C526" s="3" t="s">
        <v>45</v>
      </c>
      <c r="D526" s="3" t="s">
        <v>59</v>
      </c>
      <c r="E526" s="3" t="s">
        <v>50</v>
      </c>
      <c r="F526" s="3">
        <v>40</v>
      </c>
      <c r="G526" s="48">
        <v>30.32</v>
      </c>
      <c r="H526" s="48">
        <v>1212.8</v>
      </c>
      <c r="I526" s="3" t="s">
        <v>28</v>
      </c>
      <c r="J526" s="3" t="s">
        <v>16</v>
      </c>
      <c r="K526" s="3"/>
    </row>
    <row r="527" spans="1:11" x14ac:dyDescent="0.3">
      <c r="A527" s="5" t="s">
        <v>79</v>
      </c>
      <c r="B527" s="5" t="s">
        <v>36</v>
      </c>
      <c r="C527" s="5" t="s">
        <v>38</v>
      </c>
      <c r="D527" s="5" t="s">
        <v>31</v>
      </c>
      <c r="E527" s="5" t="s">
        <v>32</v>
      </c>
      <c r="F527" s="5">
        <v>13</v>
      </c>
      <c r="G527" s="49">
        <v>11.28</v>
      </c>
      <c r="H527" s="49">
        <v>146.63999999999999</v>
      </c>
      <c r="I527" s="5" t="s">
        <v>15</v>
      </c>
      <c r="J527" s="5" t="s">
        <v>67</v>
      </c>
      <c r="K527" s="5" t="s">
        <v>17</v>
      </c>
    </row>
    <row r="528" spans="1:11" x14ac:dyDescent="0.3">
      <c r="A528" s="3" t="s">
        <v>80</v>
      </c>
      <c r="B528" s="3" t="s">
        <v>53</v>
      </c>
      <c r="C528" s="3" t="s">
        <v>45</v>
      </c>
      <c r="D528" s="3" t="s">
        <v>59</v>
      </c>
      <c r="E528" s="3" t="s">
        <v>50</v>
      </c>
      <c r="F528" s="3">
        <v>148</v>
      </c>
      <c r="G528" s="48">
        <v>31.84</v>
      </c>
      <c r="H528" s="48">
        <v>4712.32</v>
      </c>
      <c r="I528" s="3" t="s">
        <v>37</v>
      </c>
      <c r="J528" s="3" t="s">
        <v>47</v>
      </c>
      <c r="K528" s="3"/>
    </row>
    <row r="529" spans="1:11" x14ac:dyDescent="0.3">
      <c r="A529" s="5" t="s">
        <v>81</v>
      </c>
      <c r="B529" s="5" t="s">
        <v>56</v>
      </c>
      <c r="C529" s="5" t="s">
        <v>45</v>
      </c>
      <c r="D529" s="5" t="s">
        <v>21</v>
      </c>
      <c r="E529" s="5" t="s">
        <v>22</v>
      </c>
      <c r="F529" s="5">
        <v>71</v>
      </c>
      <c r="G529" s="49">
        <v>9.67</v>
      </c>
      <c r="H529" s="49">
        <v>686.57</v>
      </c>
      <c r="I529" s="5" t="s">
        <v>23</v>
      </c>
      <c r="J529" s="5" t="s">
        <v>47</v>
      </c>
      <c r="K529" s="5"/>
    </row>
    <row r="530" spans="1:11" x14ac:dyDescent="0.3">
      <c r="A530" s="3" t="s">
        <v>82</v>
      </c>
      <c r="B530" s="3" t="s">
        <v>53</v>
      </c>
      <c r="C530" s="3" t="s">
        <v>45</v>
      </c>
      <c r="D530" s="3" t="s">
        <v>52</v>
      </c>
      <c r="E530" s="3" t="s">
        <v>27</v>
      </c>
      <c r="F530" s="3">
        <v>139</v>
      </c>
      <c r="G530" s="48">
        <v>48.06</v>
      </c>
      <c r="H530" s="48">
        <v>6680.34</v>
      </c>
      <c r="I530" s="3" t="s">
        <v>15</v>
      </c>
      <c r="J530" s="3" t="s">
        <v>16</v>
      </c>
      <c r="K530" s="3" t="s">
        <v>24</v>
      </c>
    </row>
    <row r="531" spans="1:11" x14ac:dyDescent="0.3">
      <c r="A531" s="5" t="s">
        <v>83</v>
      </c>
      <c r="B531" s="5" t="s">
        <v>36</v>
      </c>
      <c r="C531" s="5" t="s">
        <v>12</v>
      </c>
      <c r="D531" s="5" t="s">
        <v>48</v>
      </c>
      <c r="E531" s="5" t="s">
        <v>14</v>
      </c>
      <c r="F531" s="5">
        <v>176</v>
      </c>
      <c r="G531" s="49">
        <v>91.26</v>
      </c>
      <c r="H531" s="49">
        <v>16061.76</v>
      </c>
      <c r="I531" s="5" t="s">
        <v>41</v>
      </c>
      <c r="J531" s="5" t="s">
        <v>47</v>
      </c>
      <c r="K531" s="5" t="s">
        <v>24</v>
      </c>
    </row>
    <row r="532" spans="1:11" x14ac:dyDescent="0.3">
      <c r="A532" s="3" t="s">
        <v>84</v>
      </c>
      <c r="B532" s="3" t="s">
        <v>36</v>
      </c>
      <c r="C532" s="3" t="s">
        <v>38</v>
      </c>
      <c r="D532" s="3" t="s">
        <v>35</v>
      </c>
      <c r="E532" s="3" t="s">
        <v>32</v>
      </c>
      <c r="F532" s="3">
        <v>164</v>
      </c>
      <c r="G532" s="48">
        <v>14</v>
      </c>
      <c r="H532" s="48">
        <v>2296</v>
      </c>
      <c r="I532" s="3" t="s">
        <v>23</v>
      </c>
      <c r="J532" s="3" t="s">
        <v>16</v>
      </c>
      <c r="K532" s="3"/>
    </row>
    <row r="533" spans="1:11" x14ac:dyDescent="0.3">
      <c r="A533" s="5" t="s">
        <v>85</v>
      </c>
      <c r="B533" s="5" t="s">
        <v>25</v>
      </c>
      <c r="C533" s="5" t="s">
        <v>12</v>
      </c>
      <c r="D533" s="5" t="s">
        <v>26</v>
      </c>
      <c r="E533" s="5" t="s">
        <v>27</v>
      </c>
      <c r="F533" s="5">
        <v>152</v>
      </c>
      <c r="G533" s="49">
        <v>54.19</v>
      </c>
      <c r="H533" s="49">
        <v>8236.8799999999992</v>
      </c>
      <c r="I533" s="5" t="s">
        <v>15</v>
      </c>
      <c r="J533" s="5" t="s">
        <v>16</v>
      </c>
      <c r="K533" s="5" t="s">
        <v>33</v>
      </c>
    </row>
    <row r="534" spans="1:11" x14ac:dyDescent="0.3">
      <c r="A534" s="3" t="s">
        <v>86</v>
      </c>
      <c r="B534" s="3" t="s">
        <v>11</v>
      </c>
      <c r="C534" s="3" t="s">
        <v>30</v>
      </c>
      <c r="D534" s="3" t="s">
        <v>43</v>
      </c>
      <c r="E534" s="3" t="s">
        <v>44</v>
      </c>
      <c r="F534" s="3">
        <v>161</v>
      </c>
      <c r="G534" s="48">
        <v>133.74</v>
      </c>
      <c r="H534" s="48">
        <v>21532.14</v>
      </c>
      <c r="I534" s="3" t="s">
        <v>28</v>
      </c>
      <c r="J534" s="3" t="s">
        <v>16</v>
      </c>
      <c r="K534" s="3"/>
    </row>
    <row r="535" spans="1:11" x14ac:dyDescent="0.3">
      <c r="A535" s="5" t="s">
        <v>87</v>
      </c>
      <c r="B535" s="5" t="s">
        <v>64</v>
      </c>
      <c r="C535" s="5" t="s">
        <v>30</v>
      </c>
      <c r="D535" s="5" t="s">
        <v>39</v>
      </c>
      <c r="E535" s="5" t="s">
        <v>40</v>
      </c>
      <c r="F535" s="5">
        <v>73</v>
      </c>
      <c r="G535" s="49">
        <v>54.09</v>
      </c>
      <c r="H535" s="49">
        <v>3948.57</v>
      </c>
      <c r="I535" s="5" t="s">
        <v>23</v>
      </c>
      <c r="J535" s="5" t="s">
        <v>16</v>
      </c>
      <c r="K535" s="5" t="s">
        <v>17</v>
      </c>
    </row>
    <row r="536" spans="1:11" x14ac:dyDescent="0.3">
      <c r="A536" s="3" t="s">
        <v>88</v>
      </c>
      <c r="B536" s="3" t="s">
        <v>20</v>
      </c>
      <c r="C536" s="3" t="s">
        <v>30</v>
      </c>
      <c r="D536" s="3" t="s">
        <v>26</v>
      </c>
      <c r="E536" s="3" t="s">
        <v>27</v>
      </c>
      <c r="F536" s="3">
        <v>36</v>
      </c>
      <c r="G536" s="48">
        <v>51.83</v>
      </c>
      <c r="H536" s="48">
        <v>1865.88</v>
      </c>
      <c r="I536" s="3" t="s">
        <v>15</v>
      </c>
      <c r="J536" s="3" t="s">
        <v>16</v>
      </c>
      <c r="K536" s="3" t="s">
        <v>42</v>
      </c>
    </row>
    <row r="537" spans="1:11" x14ac:dyDescent="0.3">
      <c r="A537" s="5" t="s">
        <v>89</v>
      </c>
      <c r="B537" s="5" t="s">
        <v>18</v>
      </c>
      <c r="C537" s="5" t="s">
        <v>45</v>
      </c>
      <c r="D537" s="5" t="s">
        <v>48</v>
      </c>
      <c r="E537" s="5" t="s">
        <v>14</v>
      </c>
      <c r="F537" s="5">
        <v>80</v>
      </c>
      <c r="G537" s="49">
        <v>90.67</v>
      </c>
      <c r="H537" s="49">
        <v>7253.6</v>
      </c>
      <c r="I537" s="5" t="s">
        <v>37</v>
      </c>
      <c r="J537" s="5" t="s">
        <v>47</v>
      </c>
      <c r="K537" s="5" t="s">
        <v>33</v>
      </c>
    </row>
    <row r="538" spans="1:11" x14ac:dyDescent="0.3">
      <c r="A538" s="3" t="s">
        <v>90</v>
      </c>
      <c r="B538" s="3" t="s">
        <v>34</v>
      </c>
      <c r="C538" s="3" t="s">
        <v>12</v>
      </c>
      <c r="D538" s="3" t="s">
        <v>43</v>
      </c>
      <c r="E538" s="3" t="s">
        <v>44</v>
      </c>
      <c r="F538" s="3">
        <v>168</v>
      </c>
      <c r="G538" s="48">
        <v>134.03</v>
      </c>
      <c r="H538" s="48">
        <v>22517.040000000001</v>
      </c>
      <c r="I538" s="3" t="s">
        <v>41</v>
      </c>
      <c r="J538" s="3" t="s">
        <v>16</v>
      </c>
      <c r="K538" s="3" t="s">
        <v>17</v>
      </c>
    </row>
    <row r="539" spans="1:11" x14ac:dyDescent="0.3">
      <c r="A539" s="5" t="s">
        <v>91</v>
      </c>
      <c r="B539" s="5" t="s">
        <v>18</v>
      </c>
      <c r="C539" s="5" t="s">
        <v>45</v>
      </c>
      <c r="D539" s="5" t="s">
        <v>31</v>
      </c>
      <c r="E539" s="5" t="s">
        <v>32</v>
      </c>
      <c r="F539" s="5">
        <v>118</v>
      </c>
      <c r="G539" s="49">
        <v>12.04</v>
      </c>
      <c r="H539" s="49">
        <v>1420.72</v>
      </c>
      <c r="I539" s="5" t="s">
        <v>41</v>
      </c>
      <c r="J539" s="5" t="s">
        <v>16</v>
      </c>
      <c r="K539" s="5"/>
    </row>
    <row r="540" spans="1:11" x14ac:dyDescent="0.3">
      <c r="A540" s="3" t="s">
        <v>92</v>
      </c>
      <c r="B540" s="3" t="s">
        <v>18</v>
      </c>
      <c r="C540" s="3" t="s">
        <v>19</v>
      </c>
      <c r="D540" s="3" t="s">
        <v>58</v>
      </c>
      <c r="E540" s="3" t="s">
        <v>22</v>
      </c>
      <c r="F540" s="3">
        <v>111</v>
      </c>
      <c r="G540" s="48">
        <v>23.8</v>
      </c>
      <c r="H540" s="48">
        <v>2641.8</v>
      </c>
      <c r="I540" s="3" t="s">
        <v>23</v>
      </c>
      <c r="J540" s="3" t="s">
        <v>16</v>
      </c>
      <c r="K540" s="3" t="s">
        <v>46</v>
      </c>
    </row>
    <row r="541" spans="1:11" x14ac:dyDescent="0.3">
      <c r="A541" s="5" t="s">
        <v>93</v>
      </c>
      <c r="B541" s="5" t="s">
        <v>34</v>
      </c>
      <c r="C541" s="5" t="s">
        <v>12</v>
      </c>
      <c r="D541" s="5" t="s">
        <v>58</v>
      </c>
      <c r="E541" s="5" t="s">
        <v>22</v>
      </c>
      <c r="F541" s="5">
        <v>42</v>
      </c>
      <c r="G541" s="49">
        <v>26.35</v>
      </c>
      <c r="H541" s="49">
        <v>1106.7</v>
      </c>
      <c r="I541" s="5" t="s">
        <v>41</v>
      </c>
      <c r="J541" s="5" t="s">
        <v>16</v>
      </c>
      <c r="K541" s="5" t="s">
        <v>46</v>
      </c>
    </row>
    <row r="542" spans="1:11" x14ac:dyDescent="0.3">
      <c r="A542" s="3" t="s">
        <v>94</v>
      </c>
      <c r="B542" s="3" t="s">
        <v>11</v>
      </c>
      <c r="C542" s="3" t="s">
        <v>38</v>
      </c>
      <c r="D542" s="3" t="s">
        <v>48</v>
      </c>
      <c r="E542" s="3" t="s">
        <v>14</v>
      </c>
      <c r="F542" s="3">
        <v>14</v>
      </c>
      <c r="G542" s="48">
        <v>91.39</v>
      </c>
      <c r="H542" s="48">
        <v>1279.46</v>
      </c>
      <c r="I542" s="3" t="s">
        <v>37</v>
      </c>
      <c r="J542" s="3" t="s">
        <v>16</v>
      </c>
      <c r="K542" s="3"/>
    </row>
    <row r="543" spans="1:11" x14ac:dyDescent="0.3">
      <c r="A543" s="5" t="s">
        <v>95</v>
      </c>
      <c r="B543" s="5" t="s">
        <v>77</v>
      </c>
      <c r="C543" s="5" t="s">
        <v>12</v>
      </c>
      <c r="D543" s="5" t="s">
        <v>60</v>
      </c>
      <c r="E543" s="5" t="s">
        <v>44</v>
      </c>
      <c r="F543" s="5"/>
      <c r="G543" s="49">
        <v>115.86</v>
      </c>
      <c r="H543" s="49"/>
      <c r="I543" s="5" t="s">
        <v>41</v>
      </c>
      <c r="J543" s="5" t="s">
        <v>16</v>
      </c>
      <c r="K543" s="5"/>
    </row>
    <row r="544" spans="1:11" x14ac:dyDescent="0.3">
      <c r="A544" s="3" t="s">
        <v>96</v>
      </c>
      <c r="B544" s="3" t="s">
        <v>11</v>
      </c>
      <c r="C544" s="3" t="s">
        <v>12</v>
      </c>
      <c r="D544" s="3" t="s">
        <v>39</v>
      </c>
      <c r="E544" s="3" t="s">
        <v>40</v>
      </c>
      <c r="F544" s="3">
        <v>143</v>
      </c>
      <c r="G544" s="48">
        <v>53.34</v>
      </c>
      <c r="H544" s="48">
        <v>7627.62</v>
      </c>
      <c r="I544" s="3" t="s">
        <v>23</v>
      </c>
      <c r="J544" s="3" t="s">
        <v>16</v>
      </c>
      <c r="K544" s="3"/>
    </row>
    <row r="545" spans="1:11" x14ac:dyDescent="0.3">
      <c r="A545" s="5" t="s">
        <v>97</v>
      </c>
      <c r="B545" s="5" t="s">
        <v>11</v>
      </c>
      <c r="C545" s="5" t="s">
        <v>12</v>
      </c>
      <c r="D545" s="5" t="s">
        <v>58</v>
      </c>
      <c r="E545" s="5" t="s">
        <v>22</v>
      </c>
      <c r="F545" s="5">
        <v>90</v>
      </c>
      <c r="G545" s="49">
        <v>25.73</v>
      </c>
      <c r="H545" s="49">
        <v>2315.6999999999998</v>
      </c>
      <c r="I545" s="5" t="s">
        <v>41</v>
      </c>
      <c r="J545" s="5" t="s">
        <v>16</v>
      </c>
      <c r="K545" s="5" t="s">
        <v>24</v>
      </c>
    </row>
    <row r="546" spans="1:11" x14ac:dyDescent="0.3">
      <c r="A546" s="3" t="s">
        <v>98</v>
      </c>
      <c r="B546" s="3" t="s">
        <v>25</v>
      </c>
      <c r="C546" s="3" t="s">
        <v>12</v>
      </c>
      <c r="D546" s="3" t="s">
        <v>43</v>
      </c>
      <c r="E546" s="3" t="s">
        <v>44</v>
      </c>
      <c r="F546" s="3">
        <v>104</v>
      </c>
      <c r="G546" s="48">
        <v>134.24</v>
      </c>
      <c r="H546" s="48">
        <v>13960.96</v>
      </c>
      <c r="I546" s="3" t="s">
        <v>41</v>
      </c>
      <c r="J546" s="3" t="s">
        <v>29</v>
      </c>
      <c r="K546" s="3"/>
    </row>
    <row r="547" spans="1:11" x14ac:dyDescent="0.3">
      <c r="A547" s="5" t="s">
        <v>99</v>
      </c>
      <c r="B547" s="5" t="s">
        <v>34</v>
      </c>
      <c r="C547" s="5" t="s">
        <v>12</v>
      </c>
      <c r="D547" s="5" t="s">
        <v>52</v>
      </c>
      <c r="E547" s="5" t="s">
        <v>27</v>
      </c>
      <c r="F547" s="5">
        <v>199</v>
      </c>
      <c r="G547" s="49">
        <v>44.37</v>
      </c>
      <c r="H547" s="49">
        <v>8829.6299999999992</v>
      </c>
      <c r="I547" s="5" t="s">
        <v>28</v>
      </c>
      <c r="J547" s="5" t="s">
        <v>29</v>
      </c>
      <c r="K547" s="5" t="s">
        <v>24</v>
      </c>
    </row>
    <row r="548" spans="1:11" x14ac:dyDescent="0.3">
      <c r="A548" s="3" t="s">
        <v>100</v>
      </c>
      <c r="B548" s="3" t="s">
        <v>53</v>
      </c>
      <c r="C548" s="3" t="s">
        <v>12</v>
      </c>
      <c r="D548" s="3" t="s">
        <v>26</v>
      </c>
      <c r="E548" s="3" t="s">
        <v>27</v>
      </c>
      <c r="F548" s="3">
        <v>29</v>
      </c>
      <c r="G548" s="48">
        <v>51.75</v>
      </c>
      <c r="H548" s="48">
        <v>1500.75</v>
      </c>
      <c r="I548" s="3" t="s">
        <v>41</v>
      </c>
      <c r="J548" s="3" t="s">
        <v>16</v>
      </c>
      <c r="K548" s="3" t="s">
        <v>46</v>
      </c>
    </row>
    <row r="549" spans="1:11" x14ac:dyDescent="0.3">
      <c r="A549" s="5" t="s">
        <v>101</v>
      </c>
      <c r="B549" s="5" t="s">
        <v>18</v>
      </c>
      <c r="C549" s="5" t="s">
        <v>12</v>
      </c>
      <c r="D549" s="5" t="s">
        <v>58</v>
      </c>
      <c r="E549" s="5" t="s">
        <v>22</v>
      </c>
      <c r="F549" s="5">
        <v>19</v>
      </c>
      <c r="G549" s="49">
        <v>24.09</v>
      </c>
      <c r="H549" s="49">
        <v>457.71</v>
      </c>
      <c r="I549" s="5" t="s">
        <v>28</v>
      </c>
      <c r="J549" s="5" t="s">
        <v>16</v>
      </c>
      <c r="K549" s="5"/>
    </row>
    <row r="550" spans="1:11" x14ac:dyDescent="0.3">
      <c r="A550" s="3" t="s">
        <v>102</v>
      </c>
      <c r="B550" s="3" t="s">
        <v>18</v>
      </c>
      <c r="C550" s="3" t="s">
        <v>45</v>
      </c>
      <c r="D550" s="3" t="s">
        <v>39</v>
      </c>
      <c r="E550" s="3" t="s">
        <v>40</v>
      </c>
      <c r="F550" s="3">
        <v>150</v>
      </c>
      <c r="G550" s="48">
        <v>54.59</v>
      </c>
      <c r="H550" s="48">
        <v>8188.5</v>
      </c>
      <c r="I550" s="3" t="s">
        <v>15</v>
      </c>
      <c r="J550" s="3" t="s">
        <v>69</v>
      </c>
      <c r="K550" s="3"/>
    </row>
    <row r="551" spans="1:11" x14ac:dyDescent="0.3">
      <c r="A551" s="5" t="s">
        <v>103</v>
      </c>
      <c r="B551" s="5" t="s">
        <v>20</v>
      </c>
      <c r="C551" s="5" t="s">
        <v>30</v>
      </c>
      <c r="D551" s="5" t="s">
        <v>26</v>
      </c>
      <c r="E551" s="5" t="s">
        <v>27</v>
      </c>
      <c r="F551" s="5">
        <v>60</v>
      </c>
      <c r="G551" s="49">
        <v>58.1</v>
      </c>
      <c r="H551" s="49">
        <v>3486</v>
      </c>
      <c r="I551" s="5" t="s">
        <v>37</v>
      </c>
      <c r="J551" s="5" t="s">
        <v>47</v>
      </c>
      <c r="K551" s="5" t="s">
        <v>42</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zoomScaleNormal="100" workbookViewId="0">
      <selection activeCell="D22" sqref="D22"/>
    </sheetView>
  </sheetViews>
  <sheetFormatPr defaultColWidth="8.6640625" defaultRowHeight="14.4" x14ac:dyDescent="0.3"/>
  <cols>
    <col min="1" max="1" width="20" customWidth="1"/>
    <col min="2" max="2" width="30" customWidth="1"/>
    <col min="3" max="3" width="22" customWidth="1"/>
    <col min="4" max="4" width="30" customWidth="1"/>
  </cols>
  <sheetData>
    <row r="1" spans="1:4" x14ac:dyDescent="0.3">
      <c r="A1" s="6" t="s">
        <v>104</v>
      </c>
      <c r="B1" s="6" t="s">
        <v>105</v>
      </c>
      <c r="C1" s="6" t="s">
        <v>106</v>
      </c>
      <c r="D1" s="6" t="s">
        <v>107</v>
      </c>
    </row>
    <row r="2" spans="1:4" x14ac:dyDescent="0.3">
      <c r="A2" s="5" t="s">
        <v>0</v>
      </c>
      <c r="B2" s="5" t="s">
        <v>108</v>
      </c>
      <c r="C2" s="5" t="s">
        <v>109</v>
      </c>
      <c r="D2" s="5" t="s">
        <v>110</v>
      </c>
    </row>
    <row r="3" spans="1:4" x14ac:dyDescent="0.3">
      <c r="A3" s="5" t="s">
        <v>1</v>
      </c>
      <c r="B3" s="5" t="s">
        <v>111</v>
      </c>
      <c r="C3" s="5" t="s">
        <v>112</v>
      </c>
      <c r="D3" s="5" t="s">
        <v>56</v>
      </c>
    </row>
    <row r="4" spans="1:4" x14ac:dyDescent="0.3">
      <c r="A4" s="5" t="s">
        <v>2</v>
      </c>
      <c r="B4" s="5" t="s">
        <v>113</v>
      </c>
      <c r="C4" s="5" t="s">
        <v>112</v>
      </c>
      <c r="D4" s="5" t="s">
        <v>30</v>
      </c>
    </row>
    <row r="5" spans="1:4" x14ac:dyDescent="0.3">
      <c r="A5" s="5" t="s">
        <v>3</v>
      </c>
      <c r="B5" s="5" t="s">
        <v>114</v>
      </c>
      <c r="C5" s="5" t="s">
        <v>112</v>
      </c>
      <c r="D5" s="5" t="s">
        <v>60</v>
      </c>
    </row>
    <row r="6" spans="1:4" x14ac:dyDescent="0.3">
      <c r="A6" s="5" t="s">
        <v>4</v>
      </c>
      <c r="B6" s="5" t="s">
        <v>115</v>
      </c>
      <c r="C6" s="5" t="s">
        <v>112</v>
      </c>
      <c r="D6" s="5" t="s">
        <v>44</v>
      </c>
    </row>
    <row r="7" spans="1:4" x14ac:dyDescent="0.3">
      <c r="A7" s="5" t="s">
        <v>5</v>
      </c>
      <c r="B7" s="5" t="s">
        <v>116</v>
      </c>
      <c r="C7" s="5" t="s">
        <v>117</v>
      </c>
      <c r="D7" s="5" t="s">
        <v>118</v>
      </c>
    </row>
    <row r="8" spans="1:4" x14ac:dyDescent="0.3">
      <c r="A8" s="5" t="s">
        <v>6</v>
      </c>
      <c r="B8" s="5" t="s">
        <v>119</v>
      </c>
      <c r="C8" s="5" t="s">
        <v>117</v>
      </c>
      <c r="D8" s="5" t="s">
        <v>120</v>
      </c>
    </row>
    <row r="9" spans="1:4" x14ac:dyDescent="0.3">
      <c r="A9" s="5" t="s">
        <v>7</v>
      </c>
      <c r="B9" s="5" t="s">
        <v>121</v>
      </c>
      <c r="C9" s="5" t="s">
        <v>117</v>
      </c>
      <c r="D9" s="5" t="s">
        <v>122</v>
      </c>
    </row>
    <row r="10" spans="1:4" x14ac:dyDescent="0.3">
      <c r="A10" s="5" t="s">
        <v>8</v>
      </c>
      <c r="B10" s="5" t="s">
        <v>123</v>
      </c>
      <c r="C10" s="5" t="s">
        <v>112</v>
      </c>
      <c r="D10" s="5" t="s">
        <v>124</v>
      </c>
    </row>
    <row r="11" spans="1:4" x14ac:dyDescent="0.3">
      <c r="A11" s="5" t="s">
        <v>9</v>
      </c>
      <c r="B11" s="5" t="s">
        <v>125</v>
      </c>
      <c r="C11" s="5" t="s">
        <v>112</v>
      </c>
      <c r="D11" s="5" t="s">
        <v>126</v>
      </c>
    </row>
    <row r="12" spans="1:4" x14ac:dyDescent="0.3">
      <c r="A12" s="5" t="s">
        <v>10</v>
      </c>
      <c r="B12" s="5" t="s">
        <v>127</v>
      </c>
      <c r="C12" s="5" t="s">
        <v>112</v>
      </c>
      <c r="D12" s="5" t="s">
        <v>42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zoomScaleNormal="100" workbookViewId="0"/>
  </sheetViews>
  <sheetFormatPr defaultColWidth="8.6640625" defaultRowHeight="14.4" x14ac:dyDescent="0.3"/>
  <cols>
    <col min="1" max="1" width="65" customWidth="1"/>
  </cols>
  <sheetData>
    <row r="1" spans="1:1" ht="17.399999999999999" x14ac:dyDescent="0.3">
      <c r="A1" s="7" t="s">
        <v>128</v>
      </c>
    </row>
    <row r="3" spans="1:1" ht="15.6" x14ac:dyDescent="0.3">
      <c r="A3" s="8" t="s">
        <v>129</v>
      </c>
    </row>
    <row r="4" spans="1:1" x14ac:dyDescent="0.3">
      <c r="A4" s="5" t="s">
        <v>130</v>
      </c>
    </row>
    <row r="5" spans="1:1" x14ac:dyDescent="0.3">
      <c r="A5" s="5" t="s">
        <v>131</v>
      </c>
    </row>
    <row r="6" spans="1:1" x14ac:dyDescent="0.3">
      <c r="A6" s="5" t="s">
        <v>132</v>
      </c>
    </row>
    <row r="7" spans="1:1" x14ac:dyDescent="0.3">
      <c r="A7" s="5"/>
    </row>
    <row r="8" spans="1:1" x14ac:dyDescent="0.3">
      <c r="A8" s="5" t="s">
        <v>133</v>
      </c>
    </row>
    <row r="9" spans="1:1" x14ac:dyDescent="0.3">
      <c r="A9" s="5" t="s">
        <v>134</v>
      </c>
    </row>
    <row r="10" spans="1:1" x14ac:dyDescent="0.3">
      <c r="A10" s="5" t="s">
        <v>135</v>
      </c>
    </row>
    <row r="11" spans="1:1" x14ac:dyDescent="0.3">
      <c r="A11" s="5" t="s">
        <v>136</v>
      </c>
    </row>
    <row r="12" spans="1:1" x14ac:dyDescent="0.3">
      <c r="A12" s="5" t="s">
        <v>137</v>
      </c>
    </row>
    <row r="13" spans="1:1" x14ac:dyDescent="0.3">
      <c r="A13" s="5" t="s">
        <v>138</v>
      </c>
    </row>
    <row r="14" spans="1:1" x14ac:dyDescent="0.3">
      <c r="A14" s="5" t="s">
        <v>139</v>
      </c>
    </row>
    <row r="15" spans="1:1" x14ac:dyDescent="0.3">
      <c r="A15" s="5"/>
    </row>
    <row r="16" spans="1:1" x14ac:dyDescent="0.3">
      <c r="A16" s="5" t="s">
        <v>140</v>
      </c>
    </row>
    <row r="17" spans="1:1" x14ac:dyDescent="0.3">
      <c r="A17" s="5" t="s">
        <v>141</v>
      </c>
    </row>
    <row r="18" spans="1:1" x14ac:dyDescent="0.3">
      <c r="A18" s="5" t="s">
        <v>142</v>
      </c>
    </row>
    <row r="19" spans="1:1" x14ac:dyDescent="0.3">
      <c r="A19" s="5" t="s">
        <v>143</v>
      </c>
    </row>
    <row r="20" spans="1:1" x14ac:dyDescent="0.3">
      <c r="A20" s="5" t="s">
        <v>144</v>
      </c>
    </row>
    <row r="21" spans="1:1" x14ac:dyDescent="0.3">
      <c r="A21" s="5" t="s">
        <v>145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EAD3-69D4-494F-8CB8-2C7C675815AD}">
  <sheetPr>
    <tabColor rgb="FFFF0000"/>
  </sheetPr>
  <dimension ref="A1:M528"/>
  <sheetViews>
    <sheetView workbookViewId="0">
      <selection activeCell="E7" sqref="E7"/>
    </sheetView>
  </sheetViews>
  <sheetFormatPr defaultRowHeight="14.4" x14ac:dyDescent="0.3"/>
  <cols>
    <col min="1" max="1" width="10.33203125" bestFit="1" customWidth="1"/>
    <col min="2" max="2" width="17.33203125" bestFit="1" customWidth="1"/>
    <col min="3" max="3" width="9" bestFit="1" customWidth="1"/>
    <col min="4" max="4" width="10.6640625" bestFit="1" customWidth="1"/>
    <col min="5" max="5" width="12.21875" bestFit="1" customWidth="1"/>
    <col min="6" max="6" width="10.5546875" bestFit="1" customWidth="1"/>
    <col min="7" max="7" width="11.88671875" bestFit="1" customWidth="1"/>
    <col min="8" max="8" width="12.6640625" bestFit="1" customWidth="1"/>
    <col min="9" max="9" width="16.88671875" bestFit="1" customWidth="1"/>
    <col min="11" max="11" width="16.109375" bestFit="1" customWidth="1"/>
    <col min="13" max="13" width="12.88671875" bestFit="1" customWidth="1"/>
  </cols>
  <sheetData>
    <row r="1" spans="1:13" x14ac:dyDescent="0.3">
      <c r="A1" t="s">
        <v>0</v>
      </c>
      <c r="B1" t="s">
        <v>1</v>
      </c>
      <c r="C1" t="s">
        <v>2</v>
      </c>
      <c r="D1" t="s">
        <v>3</v>
      </c>
      <c r="E1" t="s">
        <v>4</v>
      </c>
      <c r="F1" t="s">
        <v>5</v>
      </c>
      <c r="G1" t="s">
        <v>6</v>
      </c>
      <c r="H1" t="s">
        <v>7</v>
      </c>
      <c r="I1" t="s">
        <v>8</v>
      </c>
      <c r="J1" t="s">
        <v>9</v>
      </c>
      <c r="K1" t="s">
        <v>10</v>
      </c>
    </row>
    <row r="2" spans="1:13" x14ac:dyDescent="0.3">
      <c r="A2" s="9">
        <v>45658</v>
      </c>
      <c r="B2" t="s">
        <v>11</v>
      </c>
      <c r="C2" t="s">
        <v>12</v>
      </c>
      <c r="D2" t="s">
        <v>13</v>
      </c>
      <c r="E2" t="s">
        <v>14</v>
      </c>
      <c r="F2">
        <v>113</v>
      </c>
      <c r="G2">
        <v>47.02</v>
      </c>
      <c r="H2">
        <v>5313.26</v>
      </c>
      <c r="I2" t="s">
        <v>15</v>
      </c>
      <c r="J2" t="s">
        <v>16</v>
      </c>
      <c r="K2" t="s">
        <v>146</v>
      </c>
    </row>
    <row r="3" spans="1:13" x14ac:dyDescent="0.3">
      <c r="A3" s="9">
        <v>45659</v>
      </c>
      <c r="B3" t="s">
        <v>18</v>
      </c>
      <c r="C3" t="s">
        <v>19</v>
      </c>
      <c r="D3" t="s">
        <v>13</v>
      </c>
      <c r="E3" t="s">
        <v>14</v>
      </c>
      <c r="F3">
        <v>54</v>
      </c>
      <c r="G3">
        <v>46.51</v>
      </c>
      <c r="H3">
        <v>2511.54</v>
      </c>
      <c r="I3" t="s">
        <v>15</v>
      </c>
      <c r="J3" t="s">
        <v>16</v>
      </c>
      <c r="K3" t="s">
        <v>146</v>
      </c>
    </row>
    <row r="4" spans="1:13" x14ac:dyDescent="0.3">
      <c r="A4" s="9">
        <v>45660</v>
      </c>
      <c r="B4" t="s">
        <v>20</v>
      </c>
      <c r="C4" t="s">
        <v>19</v>
      </c>
      <c r="D4" t="s">
        <v>21</v>
      </c>
      <c r="E4" t="s">
        <v>22</v>
      </c>
      <c r="F4">
        <v>88</v>
      </c>
      <c r="G4">
        <v>10.33</v>
      </c>
      <c r="H4">
        <v>909.04</v>
      </c>
      <c r="I4" t="s">
        <v>147</v>
      </c>
      <c r="J4" t="s">
        <v>16</v>
      </c>
      <c r="K4" t="s">
        <v>148</v>
      </c>
      <c r="M4" s="18">
        <f>SUMIFS(Clean_Sales[Total_Sales],Clean_Sales[Status],"DELIVERED")</f>
        <v>1626793.7300000002</v>
      </c>
    </row>
    <row r="5" spans="1:13" x14ac:dyDescent="0.3">
      <c r="A5" s="9">
        <v>45660</v>
      </c>
      <c r="B5" t="s">
        <v>25</v>
      </c>
      <c r="C5" t="s">
        <v>12</v>
      </c>
      <c r="D5" t="s">
        <v>26</v>
      </c>
      <c r="E5" t="s">
        <v>27</v>
      </c>
      <c r="F5">
        <v>44</v>
      </c>
      <c r="G5">
        <v>58.07</v>
      </c>
      <c r="H5">
        <v>2555.08</v>
      </c>
      <c r="I5" t="s">
        <v>28</v>
      </c>
      <c r="J5" t="s">
        <v>29</v>
      </c>
    </row>
    <row r="6" spans="1:13" x14ac:dyDescent="0.3">
      <c r="A6" s="9">
        <v>45660</v>
      </c>
      <c r="B6" t="s">
        <v>18</v>
      </c>
      <c r="C6" t="s">
        <v>30</v>
      </c>
      <c r="D6" t="s">
        <v>31</v>
      </c>
      <c r="E6" t="s">
        <v>32</v>
      </c>
      <c r="F6">
        <v>144</v>
      </c>
      <c r="G6">
        <v>12.08</v>
      </c>
      <c r="H6">
        <v>1739.52</v>
      </c>
      <c r="I6" t="s">
        <v>28</v>
      </c>
      <c r="J6" t="s">
        <v>16</v>
      </c>
      <c r="K6" t="s">
        <v>149</v>
      </c>
    </row>
    <row r="7" spans="1:13" x14ac:dyDescent="0.3">
      <c r="A7" s="9">
        <v>45661</v>
      </c>
      <c r="B7" t="s">
        <v>34</v>
      </c>
      <c r="C7" t="s">
        <v>12</v>
      </c>
      <c r="D7" t="s">
        <v>26</v>
      </c>
      <c r="E7" t="s">
        <v>27</v>
      </c>
      <c r="F7">
        <v>122</v>
      </c>
      <c r="G7">
        <v>59.1</v>
      </c>
      <c r="H7">
        <v>7210.2</v>
      </c>
      <c r="I7" t="s">
        <v>147</v>
      </c>
      <c r="J7" t="s">
        <v>16</v>
      </c>
    </row>
    <row r="8" spans="1:13" x14ac:dyDescent="0.3">
      <c r="A8" s="9">
        <v>45661</v>
      </c>
      <c r="B8" t="s">
        <v>18</v>
      </c>
      <c r="C8" t="s">
        <v>30</v>
      </c>
      <c r="D8" t="s">
        <v>35</v>
      </c>
      <c r="E8" t="s">
        <v>32</v>
      </c>
      <c r="F8">
        <v>39</v>
      </c>
      <c r="G8">
        <v>13.14</v>
      </c>
      <c r="H8">
        <v>512.46</v>
      </c>
      <c r="I8" t="s">
        <v>28</v>
      </c>
      <c r="J8" t="s">
        <v>16</v>
      </c>
      <c r="K8" t="s">
        <v>146</v>
      </c>
    </row>
    <row r="9" spans="1:13" x14ac:dyDescent="0.3">
      <c r="A9" s="9">
        <v>45661</v>
      </c>
      <c r="B9" t="s">
        <v>36</v>
      </c>
      <c r="C9" t="s">
        <v>19</v>
      </c>
      <c r="D9" t="s">
        <v>21</v>
      </c>
      <c r="E9" t="s">
        <v>22</v>
      </c>
      <c r="F9">
        <v>182</v>
      </c>
      <c r="G9">
        <v>9.48</v>
      </c>
      <c r="H9">
        <v>1725.3600000000001</v>
      </c>
      <c r="I9" t="s">
        <v>37</v>
      </c>
      <c r="J9" t="s">
        <v>29</v>
      </c>
    </row>
    <row r="10" spans="1:13" x14ac:dyDescent="0.3">
      <c r="A10" s="9">
        <v>45661</v>
      </c>
      <c r="B10" t="s">
        <v>20</v>
      </c>
      <c r="C10" t="s">
        <v>38</v>
      </c>
      <c r="D10" t="s">
        <v>39</v>
      </c>
      <c r="E10" t="s">
        <v>40</v>
      </c>
      <c r="F10">
        <v>40</v>
      </c>
      <c r="G10">
        <v>57.24</v>
      </c>
      <c r="H10">
        <v>2289.6</v>
      </c>
      <c r="I10" t="s">
        <v>150</v>
      </c>
      <c r="J10" t="s">
        <v>16</v>
      </c>
      <c r="K10" t="s">
        <v>151</v>
      </c>
    </row>
    <row r="11" spans="1:13" x14ac:dyDescent="0.3">
      <c r="A11" s="9">
        <v>45661</v>
      </c>
      <c r="B11" t="s">
        <v>25</v>
      </c>
      <c r="C11" t="s">
        <v>30</v>
      </c>
      <c r="D11" t="s">
        <v>43</v>
      </c>
      <c r="E11" t="s">
        <v>44</v>
      </c>
      <c r="F11">
        <v>137</v>
      </c>
      <c r="G11">
        <v>130.47999999999999</v>
      </c>
      <c r="H11">
        <v>17875.759999999998</v>
      </c>
      <c r="I11" t="s">
        <v>15</v>
      </c>
      <c r="J11" t="s">
        <v>16</v>
      </c>
      <c r="K11" t="s">
        <v>148</v>
      </c>
    </row>
    <row r="12" spans="1:13" x14ac:dyDescent="0.3">
      <c r="A12" s="9">
        <v>45661</v>
      </c>
      <c r="B12" t="s">
        <v>36</v>
      </c>
      <c r="C12" t="s">
        <v>45</v>
      </c>
      <c r="D12" t="s">
        <v>35</v>
      </c>
      <c r="E12" t="s">
        <v>32</v>
      </c>
      <c r="F12">
        <v>14</v>
      </c>
      <c r="G12">
        <v>14.28</v>
      </c>
      <c r="H12">
        <v>199.92</v>
      </c>
      <c r="I12" t="s">
        <v>147</v>
      </c>
      <c r="J12" t="s">
        <v>16</v>
      </c>
      <c r="K12" t="s">
        <v>152</v>
      </c>
    </row>
    <row r="13" spans="1:13" x14ac:dyDescent="0.3">
      <c r="A13" s="9">
        <v>45661</v>
      </c>
      <c r="B13" t="s">
        <v>25</v>
      </c>
      <c r="C13" t="s">
        <v>19</v>
      </c>
      <c r="D13" t="s">
        <v>21</v>
      </c>
      <c r="E13" t="s">
        <v>22</v>
      </c>
      <c r="F13">
        <v>40</v>
      </c>
      <c r="G13">
        <v>9.59</v>
      </c>
      <c r="H13">
        <v>383.6</v>
      </c>
      <c r="I13" t="s">
        <v>37</v>
      </c>
      <c r="J13" t="s">
        <v>29</v>
      </c>
    </row>
    <row r="14" spans="1:13" x14ac:dyDescent="0.3">
      <c r="A14" s="9">
        <v>45661</v>
      </c>
      <c r="B14" t="s">
        <v>36</v>
      </c>
      <c r="C14" t="s">
        <v>30</v>
      </c>
      <c r="D14" t="s">
        <v>31</v>
      </c>
      <c r="E14" t="s">
        <v>32</v>
      </c>
      <c r="F14">
        <v>125</v>
      </c>
      <c r="G14">
        <v>11.68</v>
      </c>
      <c r="H14">
        <v>1460</v>
      </c>
      <c r="I14" t="s">
        <v>147</v>
      </c>
      <c r="J14" t="s">
        <v>47</v>
      </c>
      <c r="K14" t="s">
        <v>146</v>
      </c>
    </row>
    <row r="15" spans="1:13" x14ac:dyDescent="0.3">
      <c r="A15" s="9">
        <v>45661</v>
      </c>
      <c r="B15" t="s">
        <v>34</v>
      </c>
      <c r="C15" t="s">
        <v>19</v>
      </c>
      <c r="D15" t="s">
        <v>48</v>
      </c>
      <c r="E15" t="s">
        <v>14</v>
      </c>
      <c r="F15">
        <v>88</v>
      </c>
      <c r="G15">
        <v>90.09</v>
      </c>
      <c r="H15">
        <v>7927.92</v>
      </c>
      <c r="I15" t="s">
        <v>150</v>
      </c>
      <c r="J15" t="s">
        <v>29</v>
      </c>
      <c r="K15" t="s">
        <v>146</v>
      </c>
    </row>
    <row r="16" spans="1:13" x14ac:dyDescent="0.3">
      <c r="A16" s="9">
        <v>45662</v>
      </c>
      <c r="B16" t="s">
        <v>11</v>
      </c>
      <c r="C16" t="s">
        <v>30</v>
      </c>
      <c r="D16" t="s">
        <v>49</v>
      </c>
      <c r="E16" t="s">
        <v>50</v>
      </c>
      <c r="F16">
        <v>90</v>
      </c>
      <c r="G16">
        <v>20.23</v>
      </c>
      <c r="H16">
        <v>1820.7</v>
      </c>
      <c r="I16" t="s">
        <v>147</v>
      </c>
      <c r="J16" t="s">
        <v>16</v>
      </c>
    </row>
    <row r="17" spans="1:11" x14ac:dyDescent="0.3">
      <c r="A17" s="9">
        <v>45662</v>
      </c>
      <c r="B17" t="s">
        <v>11</v>
      </c>
      <c r="C17" t="s">
        <v>19</v>
      </c>
      <c r="D17" t="s">
        <v>13</v>
      </c>
      <c r="E17" t="s">
        <v>14</v>
      </c>
      <c r="F17">
        <v>48</v>
      </c>
      <c r="G17">
        <v>42.87</v>
      </c>
      <c r="H17">
        <v>2057.7599999999998</v>
      </c>
      <c r="I17" t="s">
        <v>37</v>
      </c>
      <c r="J17" t="s">
        <v>29</v>
      </c>
    </row>
    <row r="18" spans="1:11" x14ac:dyDescent="0.3">
      <c r="A18" s="9">
        <v>45662</v>
      </c>
      <c r="B18" t="s">
        <v>25</v>
      </c>
      <c r="C18" t="s">
        <v>45</v>
      </c>
      <c r="D18" t="s">
        <v>26</v>
      </c>
      <c r="E18" t="s">
        <v>27</v>
      </c>
      <c r="F18">
        <v>64</v>
      </c>
      <c r="G18">
        <v>57.85</v>
      </c>
      <c r="H18">
        <v>3702.4</v>
      </c>
      <c r="I18" t="s">
        <v>147</v>
      </c>
      <c r="J18" t="s">
        <v>47</v>
      </c>
      <c r="K18" t="s">
        <v>149</v>
      </c>
    </row>
    <row r="19" spans="1:11" x14ac:dyDescent="0.3">
      <c r="A19" s="9">
        <v>45663</v>
      </c>
      <c r="B19" t="s">
        <v>25</v>
      </c>
      <c r="C19" t="s">
        <v>45</v>
      </c>
      <c r="D19" t="s">
        <v>39</v>
      </c>
      <c r="E19" t="s">
        <v>40</v>
      </c>
      <c r="F19">
        <v>46</v>
      </c>
      <c r="G19">
        <v>58.05</v>
      </c>
      <c r="H19">
        <v>2670.2999999999997</v>
      </c>
      <c r="I19" t="s">
        <v>150</v>
      </c>
      <c r="J19" t="s">
        <v>16</v>
      </c>
    </row>
    <row r="20" spans="1:11" x14ac:dyDescent="0.3">
      <c r="A20" s="9">
        <v>45663</v>
      </c>
      <c r="B20" t="s">
        <v>36</v>
      </c>
      <c r="C20" t="s">
        <v>19</v>
      </c>
      <c r="D20" t="s">
        <v>54</v>
      </c>
      <c r="E20" t="s">
        <v>44</v>
      </c>
      <c r="F20">
        <v>28</v>
      </c>
      <c r="G20">
        <v>116.83</v>
      </c>
      <c r="H20">
        <v>3271.24</v>
      </c>
      <c r="I20" t="s">
        <v>15</v>
      </c>
      <c r="J20" t="s">
        <v>16</v>
      </c>
      <c r="K20" t="s">
        <v>146</v>
      </c>
    </row>
    <row r="21" spans="1:11" x14ac:dyDescent="0.3">
      <c r="A21" s="9">
        <v>45663</v>
      </c>
      <c r="B21" t="s">
        <v>18</v>
      </c>
      <c r="C21" t="s">
        <v>30</v>
      </c>
      <c r="D21" t="s">
        <v>48</v>
      </c>
      <c r="E21" t="s">
        <v>14</v>
      </c>
      <c r="F21">
        <v>183</v>
      </c>
      <c r="G21">
        <v>80.91</v>
      </c>
      <c r="H21">
        <v>14806.529999999999</v>
      </c>
      <c r="I21" t="s">
        <v>147</v>
      </c>
      <c r="J21" t="s">
        <v>16</v>
      </c>
      <c r="K21" t="s">
        <v>151</v>
      </c>
    </row>
    <row r="22" spans="1:11" x14ac:dyDescent="0.3">
      <c r="A22" s="9">
        <v>45663</v>
      </c>
      <c r="B22" t="s">
        <v>34</v>
      </c>
      <c r="C22" t="s">
        <v>45</v>
      </c>
      <c r="D22" t="s">
        <v>52</v>
      </c>
      <c r="E22" t="s">
        <v>27</v>
      </c>
      <c r="F22">
        <v>152</v>
      </c>
      <c r="G22">
        <v>48.55</v>
      </c>
      <c r="H22">
        <v>7379.5999999999995</v>
      </c>
      <c r="I22" t="s">
        <v>37</v>
      </c>
      <c r="J22" t="s">
        <v>16</v>
      </c>
    </row>
    <row r="23" spans="1:11" x14ac:dyDescent="0.3">
      <c r="A23" s="9">
        <v>45663</v>
      </c>
      <c r="B23" t="s">
        <v>36</v>
      </c>
      <c r="C23" t="s">
        <v>12</v>
      </c>
      <c r="D23" t="s">
        <v>21</v>
      </c>
      <c r="E23" t="s">
        <v>22</v>
      </c>
      <c r="F23">
        <v>109</v>
      </c>
      <c r="G23">
        <v>9.36</v>
      </c>
      <c r="H23">
        <v>1020.2399999999999</v>
      </c>
      <c r="I23" t="s">
        <v>37</v>
      </c>
      <c r="J23" t="s">
        <v>16</v>
      </c>
      <c r="K23" t="s">
        <v>151</v>
      </c>
    </row>
    <row r="24" spans="1:11" x14ac:dyDescent="0.3">
      <c r="A24" s="9">
        <v>45663</v>
      </c>
      <c r="B24" t="s">
        <v>56</v>
      </c>
      <c r="C24" t="s">
        <v>30</v>
      </c>
      <c r="D24" t="s">
        <v>48</v>
      </c>
      <c r="E24" t="s">
        <v>14</v>
      </c>
      <c r="F24">
        <v>164</v>
      </c>
      <c r="G24">
        <v>79.06</v>
      </c>
      <c r="H24">
        <v>12965.84</v>
      </c>
      <c r="I24" t="s">
        <v>37</v>
      </c>
      <c r="J24" t="s">
        <v>16</v>
      </c>
    </row>
    <row r="25" spans="1:11" x14ac:dyDescent="0.3">
      <c r="A25" s="9">
        <v>45664</v>
      </c>
      <c r="B25" t="s">
        <v>56</v>
      </c>
      <c r="C25" t="s">
        <v>38</v>
      </c>
      <c r="D25" t="s">
        <v>26</v>
      </c>
      <c r="E25" t="s">
        <v>27</v>
      </c>
      <c r="F25">
        <v>166</v>
      </c>
      <c r="G25">
        <v>51.24</v>
      </c>
      <c r="H25">
        <v>8505.84</v>
      </c>
      <c r="I25" t="s">
        <v>37</v>
      </c>
      <c r="J25" t="s">
        <v>16</v>
      </c>
      <c r="K25" t="s">
        <v>149</v>
      </c>
    </row>
    <row r="26" spans="1:11" x14ac:dyDescent="0.3">
      <c r="A26" s="9">
        <v>45664</v>
      </c>
      <c r="B26" t="s">
        <v>34</v>
      </c>
      <c r="C26" t="s">
        <v>45</v>
      </c>
      <c r="D26" t="s">
        <v>21</v>
      </c>
      <c r="E26" t="s">
        <v>22</v>
      </c>
      <c r="F26">
        <v>166</v>
      </c>
      <c r="G26">
        <v>9.57</v>
      </c>
      <c r="H26">
        <v>1588.6200000000001</v>
      </c>
      <c r="I26" t="s">
        <v>150</v>
      </c>
      <c r="J26" t="s">
        <v>29</v>
      </c>
      <c r="K26" t="s">
        <v>146</v>
      </c>
    </row>
    <row r="27" spans="1:11" x14ac:dyDescent="0.3">
      <c r="A27" s="9">
        <v>45664</v>
      </c>
      <c r="B27" t="s">
        <v>34</v>
      </c>
      <c r="C27" t="s">
        <v>12</v>
      </c>
      <c r="D27" t="s">
        <v>54</v>
      </c>
      <c r="E27" t="s">
        <v>44</v>
      </c>
      <c r="F27">
        <v>42</v>
      </c>
      <c r="G27">
        <v>116.19</v>
      </c>
      <c r="H27">
        <v>4879.9799999999996</v>
      </c>
      <c r="I27" t="s">
        <v>147</v>
      </c>
      <c r="J27" t="s">
        <v>16</v>
      </c>
    </row>
    <row r="28" spans="1:11" x14ac:dyDescent="0.3">
      <c r="A28" s="9">
        <v>45665</v>
      </c>
      <c r="B28" t="s">
        <v>11</v>
      </c>
      <c r="C28" t="s">
        <v>19</v>
      </c>
      <c r="D28" t="s">
        <v>43</v>
      </c>
      <c r="E28" t="s">
        <v>44</v>
      </c>
      <c r="F28">
        <v>134</v>
      </c>
      <c r="G28">
        <v>136.19</v>
      </c>
      <c r="H28">
        <v>18249.46</v>
      </c>
      <c r="I28" t="s">
        <v>15</v>
      </c>
      <c r="J28" t="s">
        <v>16</v>
      </c>
    </row>
    <row r="29" spans="1:11" x14ac:dyDescent="0.3">
      <c r="A29" s="9">
        <v>45665</v>
      </c>
      <c r="B29" t="s">
        <v>36</v>
      </c>
      <c r="C29" t="s">
        <v>12</v>
      </c>
      <c r="D29" t="s">
        <v>31</v>
      </c>
      <c r="E29" t="s">
        <v>32</v>
      </c>
      <c r="F29">
        <v>144</v>
      </c>
      <c r="G29">
        <v>12.41</v>
      </c>
      <c r="H29">
        <v>1787.04</v>
      </c>
      <c r="I29" t="s">
        <v>150</v>
      </c>
      <c r="J29" t="s">
        <v>29</v>
      </c>
    </row>
    <row r="30" spans="1:11" x14ac:dyDescent="0.3">
      <c r="A30" s="9">
        <v>45665</v>
      </c>
      <c r="B30" t="s">
        <v>36</v>
      </c>
      <c r="C30" t="s">
        <v>45</v>
      </c>
      <c r="D30" t="s">
        <v>21</v>
      </c>
      <c r="E30" t="s">
        <v>22</v>
      </c>
      <c r="F30">
        <v>46</v>
      </c>
      <c r="G30">
        <v>9.5</v>
      </c>
      <c r="H30">
        <v>437</v>
      </c>
      <c r="I30" t="s">
        <v>15</v>
      </c>
      <c r="J30" t="s">
        <v>29</v>
      </c>
    </row>
    <row r="31" spans="1:11" x14ac:dyDescent="0.3">
      <c r="A31" s="9">
        <v>45665</v>
      </c>
      <c r="B31" t="s">
        <v>36</v>
      </c>
      <c r="C31" t="s">
        <v>12</v>
      </c>
      <c r="D31" t="s">
        <v>13</v>
      </c>
      <c r="E31" t="s">
        <v>14</v>
      </c>
      <c r="F31">
        <v>87</v>
      </c>
      <c r="G31">
        <v>48.12</v>
      </c>
      <c r="H31">
        <v>4186.4399999999996</v>
      </c>
      <c r="I31" t="s">
        <v>37</v>
      </c>
      <c r="J31" t="s">
        <v>16</v>
      </c>
    </row>
    <row r="32" spans="1:11" x14ac:dyDescent="0.3">
      <c r="A32" s="9">
        <v>45666</v>
      </c>
      <c r="B32" t="s">
        <v>36</v>
      </c>
      <c r="C32" t="s">
        <v>12</v>
      </c>
      <c r="D32" t="s">
        <v>31</v>
      </c>
      <c r="E32" t="s">
        <v>32</v>
      </c>
      <c r="F32">
        <v>26</v>
      </c>
      <c r="G32">
        <v>12.85</v>
      </c>
      <c r="H32">
        <v>334.09999999999997</v>
      </c>
      <c r="I32" t="s">
        <v>37</v>
      </c>
      <c r="J32" t="s">
        <v>29</v>
      </c>
      <c r="K32" t="s">
        <v>146</v>
      </c>
    </row>
    <row r="33" spans="1:11" x14ac:dyDescent="0.3">
      <c r="A33" s="9">
        <v>45666</v>
      </c>
      <c r="B33" t="s">
        <v>36</v>
      </c>
      <c r="C33" t="s">
        <v>30</v>
      </c>
      <c r="D33" t="s">
        <v>52</v>
      </c>
      <c r="E33" t="s">
        <v>27</v>
      </c>
      <c r="F33">
        <v>70</v>
      </c>
      <c r="G33">
        <v>47.89</v>
      </c>
      <c r="H33">
        <v>3352.3</v>
      </c>
      <c r="I33" t="s">
        <v>28</v>
      </c>
      <c r="J33" t="s">
        <v>47</v>
      </c>
      <c r="K33" t="s">
        <v>146</v>
      </c>
    </row>
    <row r="34" spans="1:11" x14ac:dyDescent="0.3">
      <c r="A34" s="9">
        <v>45666</v>
      </c>
      <c r="B34" t="s">
        <v>56</v>
      </c>
      <c r="C34" t="s">
        <v>45</v>
      </c>
      <c r="D34" t="s">
        <v>54</v>
      </c>
      <c r="E34" t="s">
        <v>44</v>
      </c>
      <c r="F34">
        <v>24</v>
      </c>
      <c r="G34">
        <v>112.76</v>
      </c>
      <c r="H34">
        <v>2706.2400000000002</v>
      </c>
      <c r="I34" t="s">
        <v>28</v>
      </c>
      <c r="J34" t="s">
        <v>16</v>
      </c>
    </row>
    <row r="35" spans="1:11" x14ac:dyDescent="0.3">
      <c r="A35" s="9">
        <v>45667</v>
      </c>
      <c r="B35" t="s">
        <v>53</v>
      </c>
      <c r="C35" t="s">
        <v>38</v>
      </c>
      <c r="D35" t="s">
        <v>58</v>
      </c>
      <c r="E35" t="s">
        <v>22</v>
      </c>
      <c r="F35">
        <v>185</v>
      </c>
      <c r="G35">
        <v>26.99</v>
      </c>
      <c r="H35">
        <v>4993.1499999999996</v>
      </c>
      <c r="I35" t="s">
        <v>28</v>
      </c>
      <c r="J35" t="s">
        <v>16</v>
      </c>
    </row>
    <row r="36" spans="1:11" x14ac:dyDescent="0.3">
      <c r="A36" s="9">
        <v>45667</v>
      </c>
      <c r="B36" t="s">
        <v>56</v>
      </c>
      <c r="C36" t="s">
        <v>30</v>
      </c>
      <c r="D36" t="s">
        <v>59</v>
      </c>
      <c r="E36" t="s">
        <v>50</v>
      </c>
      <c r="F36">
        <v>164</v>
      </c>
      <c r="G36">
        <v>30.66</v>
      </c>
      <c r="H36">
        <v>5028.24</v>
      </c>
      <c r="I36" t="s">
        <v>37</v>
      </c>
      <c r="J36" t="s">
        <v>29</v>
      </c>
    </row>
    <row r="37" spans="1:11" x14ac:dyDescent="0.3">
      <c r="A37" s="9">
        <v>45667</v>
      </c>
      <c r="B37" t="s">
        <v>36</v>
      </c>
      <c r="C37" t="s">
        <v>30</v>
      </c>
      <c r="D37" t="s">
        <v>48</v>
      </c>
      <c r="E37" t="s">
        <v>14</v>
      </c>
      <c r="F37">
        <v>194</v>
      </c>
      <c r="G37">
        <v>79.81</v>
      </c>
      <c r="H37">
        <v>15483.140000000001</v>
      </c>
      <c r="I37" t="s">
        <v>37</v>
      </c>
      <c r="J37" t="s">
        <v>29</v>
      </c>
      <c r="K37" t="s">
        <v>152</v>
      </c>
    </row>
    <row r="38" spans="1:11" x14ac:dyDescent="0.3">
      <c r="A38" s="9">
        <v>45668</v>
      </c>
      <c r="B38" t="s">
        <v>25</v>
      </c>
      <c r="C38" t="s">
        <v>12</v>
      </c>
      <c r="D38" t="s">
        <v>52</v>
      </c>
      <c r="E38" t="s">
        <v>27</v>
      </c>
      <c r="F38">
        <v>176</v>
      </c>
      <c r="G38">
        <v>46.3</v>
      </c>
      <c r="H38">
        <v>8148.7999999999993</v>
      </c>
      <c r="I38" t="s">
        <v>150</v>
      </c>
      <c r="J38" t="s">
        <v>29</v>
      </c>
      <c r="K38" t="s">
        <v>149</v>
      </c>
    </row>
    <row r="39" spans="1:11" x14ac:dyDescent="0.3">
      <c r="A39" s="9">
        <v>45668</v>
      </c>
      <c r="B39" t="s">
        <v>56</v>
      </c>
      <c r="C39" t="s">
        <v>30</v>
      </c>
      <c r="D39" t="s">
        <v>60</v>
      </c>
      <c r="E39" t="s">
        <v>44</v>
      </c>
      <c r="F39">
        <v>174</v>
      </c>
      <c r="G39">
        <v>115.48</v>
      </c>
      <c r="H39">
        <v>20093.52</v>
      </c>
      <c r="I39" t="s">
        <v>150</v>
      </c>
      <c r="J39" t="s">
        <v>47</v>
      </c>
      <c r="K39" t="s">
        <v>152</v>
      </c>
    </row>
    <row r="40" spans="1:11" x14ac:dyDescent="0.3">
      <c r="A40" s="9">
        <v>45668</v>
      </c>
      <c r="B40" t="s">
        <v>11</v>
      </c>
      <c r="C40" t="s">
        <v>45</v>
      </c>
      <c r="D40" t="s">
        <v>35</v>
      </c>
      <c r="E40" t="s">
        <v>32</v>
      </c>
      <c r="F40">
        <v>118</v>
      </c>
      <c r="G40">
        <v>14.74</v>
      </c>
      <c r="H40">
        <v>1739.32</v>
      </c>
      <c r="I40" t="s">
        <v>28</v>
      </c>
      <c r="J40" t="s">
        <v>16</v>
      </c>
    </row>
    <row r="41" spans="1:11" x14ac:dyDescent="0.3">
      <c r="A41" s="9">
        <v>45668</v>
      </c>
      <c r="B41" t="s">
        <v>11</v>
      </c>
      <c r="C41" t="s">
        <v>45</v>
      </c>
      <c r="D41" t="s">
        <v>60</v>
      </c>
      <c r="E41" t="s">
        <v>44</v>
      </c>
      <c r="F41">
        <v>118</v>
      </c>
      <c r="G41">
        <v>119.6</v>
      </c>
      <c r="H41">
        <v>14112.8</v>
      </c>
      <c r="I41" t="s">
        <v>28</v>
      </c>
      <c r="J41" t="s">
        <v>29</v>
      </c>
    </row>
    <row r="42" spans="1:11" x14ac:dyDescent="0.3">
      <c r="A42" s="9">
        <v>45668</v>
      </c>
      <c r="B42" t="s">
        <v>36</v>
      </c>
      <c r="C42" t="s">
        <v>12</v>
      </c>
      <c r="D42" t="s">
        <v>58</v>
      </c>
      <c r="E42" t="s">
        <v>22</v>
      </c>
      <c r="F42">
        <v>67</v>
      </c>
      <c r="G42">
        <v>25.85</v>
      </c>
      <c r="H42">
        <v>1731.95</v>
      </c>
      <c r="I42" t="s">
        <v>28</v>
      </c>
      <c r="J42" t="s">
        <v>47</v>
      </c>
    </row>
    <row r="43" spans="1:11" x14ac:dyDescent="0.3">
      <c r="A43" s="9">
        <v>45669</v>
      </c>
      <c r="B43" t="s">
        <v>53</v>
      </c>
      <c r="C43" t="s">
        <v>19</v>
      </c>
      <c r="D43" t="s">
        <v>52</v>
      </c>
      <c r="E43" t="s">
        <v>27</v>
      </c>
      <c r="F43">
        <v>154</v>
      </c>
      <c r="G43">
        <v>45.54</v>
      </c>
      <c r="H43">
        <v>7013.16</v>
      </c>
      <c r="I43" t="s">
        <v>15</v>
      </c>
      <c r="J43" t="s">
        <v>16</v>
      </c>
      <c r="K43" t="s">
        <v>149</v>
      </c>
    </row>
    <row r="44" spans="1:11" x14ac:dyDescent="0.3">
      <c r="A44" s="9">
        <v>45670</v>
      </c>
      <c r="B44" t="s">
        <v>56</v>
      </c>
      <c r="C44" t="s">
        <v>30</v>
      </c>
      <c r="D44" t="s">
        <v>59</v>
      </c>
      <c r="E44" t="s">
        <v>50</v>
      </c>
      <c r="F44">
        <v>70</v>
      </c>
      <c r="G44">
        <v>29.93</v>
      </c>
      <c r="H44">
        <v>2095.1</v>
      </c>
      <c r="I44" t="s">
        <v>150</v>
      </c>
      <c r="J44" t="s">
        <v>16</v>
      </c>
      <c r="K44" t="s">
        <v>149</v>
      </c>
    </row>
    <row r="45" spans="1:11" x14ac:dyDescent="0.3">
      <c r="A45" s="9">
        <v>45671</v>
      </c>
      <c r="B45" t="s">
        <v>53</v>
      </c>
      <c r="C45" t="s">
        <v>12</v>
      </c>
      <c r="D45" t="s">
        <v>35</v>
      </c>
      <c r="E45" t="s">
        <v>32</v>
      </c>
      <c r="F45">
        <v>138</v>
      </c>
      <c r="G45">
        <v>14.4</v>
      </c>
      <c r="H45">
        <v>1987.2</v>
      </c>
      <c r="I45" t="s">
        <v>147</v>
      </c>
      <c r="J45" t="s">
        <v>16</v>
      </c>
      <c r="K45" t="s">
        <v>149</v>
      </c>
    </row>
    <row r="46" spans="1:11" x14ac:dyDescent="0.3">
      <c r="A46" s="9">
        <v>45671</v>
      </c>
      <c r="B46" t="s">
        <v>36</v>
      </c>
      <c r="C46" t="s">
        <v>45</v>
      </c>
      <c r="D46" t="s">
        <v>59</v>
      </c>
      <c r="E46" t="s">
        <v>50</v>
      </c>
      <c r="F46">
        <v>12</v>
      </c>
      <c r="G46">
        <v>30.06</v>
      </c>
      <c r="H46">
        <v>360.71999999999997</v>
      </c>
      <c r="I46" t="s">
        <v>150</v>
      </c>
      <c r="J46" t="s">
        <v>29</v>
      </c>
      <c r="K46" t="s">
        <v>148</v>
      </c>
    </row>
    <row r="47" spans="1:11" x14ac:dyDescent="0.3">
      <c r="A47" s="9">
        <v>45671</v>
      </c>
      <c r="B47" t="s">
        <v>20</v>
      </c>
      <c r="C47" t="s">
        <v>30</v>
      </c>
      <c r="D47" t="s">
        <v>59</v>
      </c>
      <c r="E47" t="s">
        <v>50</v>
      </c>
      <c r="F47">
        <v>48</v>
      </c>
      <c r="G47">
        <v>32.25</v>
      </c>
      <c r="H47">
        <v>1548</v>
      </c>
      <c r="I47" t="s">
        <v>28</v>
      </c>
      <c r="J47" t="s">
        <v>16</v>
      </c>
    </row>
    <row r="48" spans="1:11" x14ac:dyDescent="0.3">
      <c r="A48" s="9">
        <v>45671</v>
      </c>
      <c r="B48" t="s">
        <v>53</v>
      </c>
      <c r="C48" t="s">
        <v>19</v>
      </c>
      <c r="D48" t="s">
        <v>48</v>
      </c>
      <c r="E48" t="s">
        <v>14</v>
      </c>
      <c r="F48">
        <v>125</v>
      </c>
      <c r="G48">
        <v>85.36</v>
      </c>
      <c r="H48">
        <v>10670</v>
      </c>
      <c r="I48" t="s">
        <v>15</v>
      </c>
      <c r="J48" t="s">
        <v>47</v>
      </c>
      <c r="K48" t="s">
        <v>151</v>
      </c>
    </row>
    <row r="49" spans="1:11" x14ac:dyDescent="0.3">
      <c r="A49" s="9">
        <v>45671</v>
      </c>
      <c r="B49" t="s">
        <v>34</v>
      </c>
      <c r="C49" t="s">
        <v>19</v>
      </c>
      <c r="D49" t="s">
        <v>13</v>
      </c>
      <c r="E49" t="s">
        <v>14</v>
      </c>
      <c r="F49">
        <v>172</v>
      </c>
      <c r="G49">
        <v>43.96</v>
      </c>
      <c r="H49">
        <v>7561.12</v>
      </c>
      <c r="I49" t="s">
        <v>15</v>
      </c>
      <c r="J49" t="s">
        <v>16</v>
      </c>
    </row>
    <row r="50" spans="1:11" x14ac:dyDescent="0.3">
      <c r="A50" s="9">
        <v>45672</v>
      </c>
      <c r="B50" t="s">
        <v>18</v>
      </c>
      <c r="C50" t="s">
        <v>12</v>
      </c>
      <c r="D50" t="s">
        <v>52</v>
      </c>
      <c r="E50" t="s">
        <v>27</v>
      </c>
      <c r="F50">
        <v>145</v>
      </c>
      <c r="G50">
        <v>46.03</v>
      </c>
      <c r="H50">
        <v>6674.35</v>
      </c>
      <c r="I50" t="s">
        <v>15</v>
      </c>
      <c r="J50" t="s">
        <v>29</v>
      </c>
    </row>
    <row r="51" spans="1:11" x14ac:dyDescent="0.3">
      <c r="A51" s="9">
        <v>45672</v>
      </c>
      <c r="B51" t="s">
        <v>20</v>
      </c>
      <c r="C51" t="s">
        <v>45</v>
      </c>
      <c r="D51" t="s">
        <v>35</v>
      </c>
      <c r="E51" t="s">
        <v>32</v>
      </c>
      <c r="F51">
        <v>15</v>
      </c>
      <c r="G51">
        <v>12.88</v>
      </c>
      <c r="H51">
        <v>193.20000000000002</v>
      </c>
      <c r="I51" t="s">
        <v>15</v>
      </c>
      <c r="J51" t="s">
        <v>16</v>
      </c>
      <c r="K51" t="s">
        <v>151</v>
      </c>
    </row>
    <row r="52" spans="1:11" x14ac:dyDescent="0.3">
      <c r="A52" s="9">
        <v>45672</v>
      </c>
      <c r="B52" t="s">
        <v>34</v>
      </c>
      <c r="C52" t="s">
        <v>12</v>
      </c>
      <c r="D52" t="s">
        <v>54</v>
      </c>
      <c r="E52" t="s">
        <v>44</v>
      </c>
      <c r="F52">
        <v>149</v>
      </c>
      <c r="G52">
        <v>104.58</v>
      </c>
      <c r="H52">
        <v>15582.42</v>
      </c>
      <c r="I52" t="s">
        <v>28</v>
      </c>
      <c r="J52" t="s">
        <v>16</v>
      </c>
    </row>
    <row r="53" spans="1:11" x14ac:dyDescent="0.3">
      <c r="A53" s="9">
        <v>45672</v>
      </c>
      <c r="B53" t="s">
        <v>53</v>
      </c>
      <c r="C53" t="s">
        <v>45</v>
      </c>
      <c r="D53" t="s">
        <v>21</v>
      </c>
      <c r="E53" t="s">
        <v>22</v>
      </c>
      <c r="F53">
        <v>107</v>
      </c>
      <c r="G53">
        <v>9.61</v>
      </c>
      <c r="H53">
        <v>1028.27</v>
      </c>
      <c r="I53" t="s">
        <v>28</v>
      </c>
      <c r="J53" t="s">
        <v>29</v>
      </c>
    </row>
    <row r="54" spans="1:11" x14ac:dyDescent="0.3">
      <c r="A54" s="9">
        <v>45673</v>
      </c>
      <c r="B54" t="s">
        <v>25</v>
      </c>
      <c r="C54" t="s">
        <v>19</v>
      </c>
      <c r="D54" t="s">
        <v>21</v>
      </c>
      <c r="E54" t="s">
        <v>22</v>
      </c>
      <c r="F54">
        <v>155</v>
      </c>
      <c r="G54">
        <v>9.9</v>
      </c>
      <c r="H54">
        <v>1534.5</v>
      </c>
      <c r="I54" t="s">
        <v>28</v>
      </c>
      <c r="J54" t="s">
        <v>29</v>
      </c>
      <c r="K54" t="s">
        <v>146</v>
      </c>
    </row>
    <row r="55" spans="1:11" x14ac:dyDescent="0.3">
      <c r="A55" s="9">
        <v>45674</v>
      </c>
      <c r="B55" t="s">
        <v>34</v>
      </c>
      <c r="C55" t="s">
        <v>45</v>
      </c>
      <c r="D55" t="s">
        <v>13</v>
      </c>
      <c r="E55" t="s">
        <v>14</v>
      </c>
      <c r="F55">
        <v>44</v>
      </c>
      <c r="G55">
        <v>45.17</v>
      </c>
      <c r="H55">
        <v>1987.48</v>
      </c>
      <c r="I55" t="s">
        <v>15</v>
      </c>
      <c r="J55" t="s">
        <v>16</v>
      </c>
      <c r="K55" t="s">
        <v>146</v>
      </c>
    </row>
    <row r="56" spans="1:11" x14ac:dyDescent="0.3">
      <c r="A56" s="9">
        <v>45674</v>
      </c>
      <c r="B56" t="s">
        <v>36</v>
      </c>
      <c r="C56" t="s">
        <v>19</v>
      </c>
      <c r="D56" t="s">
        <v>58</v>
      </c>
      <c r="E56" t="s">
        <v>22</v>
      </c>
      <c r="F56">
        <v>93</v>
      </c>
      <c r="G56">
        <v>24.04</v>
      </c>
      <c r="H56">
        <v>2235.7199999999998</v>
      </c>
      <c r="I56" t="s">
        <v>15</v>
      </c>
      <c r="J56" t="s">
        <v>16</v>
      </c>
    </row>
    <row r="57" spans="1:11" x14ac:dyDescent="0.3">
      <c r="A57" s="9">
        <v>45674</v>
      </c>
      <c r="B57" t="s">
        <v>25</v>
      </c>
      <c r="C57" t="s">
        <v>12</v>
      </c>
      <c r="D57" t="s">
        <v>49</v>
      </c>
      <c r="E57" t="s">
        <v>50</v>
      </c>
      <c r="F57">
        <v>167</v>
      </c>
      <c r="G57">
        <v>19.440000000000001</v>
      </c>
      <c r="H57">
        <v>3246.48</v>
      </c>
      <c r="I57" t="s">
        <v>150</v>
      </c>
      <c r="J57" t="s">
        <v>29</v>
      </c>
      <c r="K57" t="s">
        <v>149</v>
      </c>
    </row>
    <row r="58" spans="1:11" x14ac:dyDescent="0.3">
      <c r="A58" s="9">
        <v>45674</v>
      </c>
      <c r="B58" t="s">
        <v>36</v>
      </c>
      <c r="C58" t="s">
        <v>38</v>
      </c>
      <c r="D58" t="s">
        <v>48</v>
      </c>
      <c r="E58" t="s">
        <v>14</v>
      </c>
      <c r="F58">
        <v>61</v>
      </c>
      <c r="G58">
        <v>91.67</v>
      </c>
      <c r="H58">
        <v>5591.87</v>
      </c>
      <c r="I58" t="s">
        <v>28</v>
      </c>
      <c r="J58" t="s">
        <v>29</v>
      </c>
      <c r="K58" t="s">
        <v>148</v>
      </c>
    </row>
    <row r="59" spans="1:11" x14ac:dyDescent="0.3">
      <c r="A59" s="9">
        <v>45675</v>
      </c>
      <c r="B59" t="s">
        <v>53</v>
      </c>
      <c r="C59" t="s">
        <v>30</v>
      </c>
      <c r="D59" t="s">
        <v>54</v>
      </c>
      <c r="E59" t="s">
        <v>44</v>
      </c>
      <c r="F59">
        <v>120</v>
      </c>
      <c r="G59">
        <v>114.2</v>
      </c>
      <c r="H59">
        <v>13704</v>
      </c>
      <c r="I59" t="s">
        <v>28</v>
      </c>
      <c r="J59" t="s">
        <v>47</v>
      </c>
    </row>
    <row r="60" spans="1:11" x14ac:dyDescent="0.3">
      <c r="A60" s="9">
        <v>45675</v>
      </c>
      <c r="B60" t="s">
        <v>56</v>
      </c>
      <c r="C60" t="s">
        <v>45</v>
      </c>
      <c r="D60" t="s">
        <v>58</v>
      </c>
      <c r="E60" t="s">
        <v>22</v>
      </c>
      <c r="F60">
        <v>52</v>
      </c>
      <c r="G60">
        <v>25.89</v>
      </c>
      <c r="H60">
        <v>1346.28</v>
      </c>
      <c r="I60" t="s">
        <v>15</v>
      </c>
      <c r="J60" t="s">
        <v>29</v>
      </c>
    </row>
    <row r="61" spans="1:11" x14ac:dyDescent="0.3">
      <c r="A61" s="9">
        <v>45675</v>
      </c>
      <c r="B61" t="s">
        <v>25</v>
      </c>
      <c r="C61" t="s">
        <v>12</v>
      </c>
      <c r="D61" t="s">
        <v>31</v>
      </c>
      <c r="E61" t="s">
        <v>32</v>
      </c>
      <c r="F61">
        <v>77</v>
      </c>
      <c r="G61">
        <v>11.91</v>
      </c>
      <c r="H61">
        <v>917.07</v>
      </c>
      <c r="I61" t="s">
        <v>147</v>
      </c>
      <c r="J61" t="s">
        <v>16</v>
      </c>
      <c r="K61" t="s">
        <v>151</v>
      </c>
    </row>
    <row r="62" spans="1:11" x14ac:dyDescent="0.3">
      <c r="A62" s="9">
        <v>45675</v>
      </c>
      <c r="B62" t="s">
        <v>11</v>
      </c>
      <c r="C62" t="s">
        <v>19</v>
      </c>
      <c r="D62" t="s">
        <v>43</v>
      </c>
      <c r="E62" t="s">
        <v>44</v>
      </c>
      <c r="F62">
        <v>13</v>
      </c>
      <c r="G62">
        <v>129.83000000000001</v>
      </c>
      <c r="H62">
        <v>1687.7900000000002</v>
      </c>
      <c r="I62" t="s">
        <v>37</v>
      </c>
      <c r="J62" t="s">
        <v>16</v>
      </c>
    </row>
    <row r="63" spans="1:11" x14ac:dyDescent="0.3">
      <c r="A63" s="9">
        <v>45676</v>
      </c>
      <c r="B63" t="s">
        <v>20</v>
      </c>
      <c r="C63" t="s">
        <v>19</v>
      </c>
      <c r="D63" t="s">
        <v>59</v>
      </c>
      <c r="E63" t="s">
        <v>50</v>
      </c>
      <c r="F63">
        <v>170</v>
      </c>
      <c r="G63">
        <v>31.46</v>
      </c>
      <c r="H63">
        <v>5348.2</v>
      </c>
      <c r="I63" t="s">
        <v>15</v>
      </c>
      <c r="J63" t="s">
        <v>16</v>
      </c>
    </row>
    <row r="64" spans="1:11" x14ac:dyDescent="0.3">
      <c r="A64" s="9">
        <v>45676</v>
      </c>
      <c r="B64" t="s">
        <v>20</v>
      </c>
      <c r="C64" t="s">
        <v>12</v>
      </c>
      <c r="D64" t="s">
        <v>54</v>
      </c>
      <c r="E64" t="s">
        <v>44</v>
      </c>
      <c r="F64">
        <v>197</v>
      </c>
      <c r="G64">
        <v>103.02</v>
      </c>
      <c r="H64">
        <v>20294.939999999999</v>
      </c>
      <c r="I64" t="s">
        <v>37</v>
      </c>
      <c r="J64" t="s">
        <v>29</v>
      </c>
    </row>
    <row r="65" spans="1:11" x14ac:dyDescent="0.3">
      <c r="A65" s="9">
        <v>45676</v>
      </c>
      <c r="B65" t="s">
        <v>11</v>
      </c>
      <c r="C65" t="s">
        <v>45</v>
      </c>
      <c r="D65" t="s">
        <v>26</v>
      </c>
      <c r="E65" t="s">
        <v>27</v>
      </c>
      <c r="F65">
        <v>23</v>
      </c>
      <c r="G65">
        <v>51.88</v>
      </c>
      <c r="H65">
        <v>1193.24</v>
      </c>
      <c r="I65" t="s">
        <v>150</v>
      </c>
      <c r="J65" t="s">
        <v>29</v>
      </c>
    </row>
    <row r="66" spans="1:11" x14ac:dyDescent="0.3">
      <c r="A66" s="9">
        <v>45677</v>
      </c>
      <c r="B66" t="s">
        <v>56</v>
      </c>
      <c r="C66" t="s">
        <v>12</v>
      </c>
      <c r="D66" t="s">
        <v>59</v>
      </c>
      <c r="E66" t="s">
        <v>50</v>
      </c>
      <c r="F66">
        <v>120</v>
      </c>
      <c r="G66">
        <v>28.12</v>
      </c>
      <c r="H66">
        <v>3374.4</v>
      </c>
      <c r="I66" t="s">
        <v>15</v>
      </c>
      <c r="J66" t="s">
        <v>16</v>
      </c>
    </row>
    <row r="67" spans="1:11" x14ac:dyDescent="0.3">
      <c r="A67" s="9">
        <v>45677</v>
      </c>
      <c r="B67" t="s">
        <v>34</v>
      </c>
      <c r="C67" t="s">
        <v>45</v>
      </c>
      <c r="D67" t="s">
        <v>59</v>
      </c>
      <c r="E67" t="s">
        <v>50</v>
      </c>
      <c r="F67">
        <v>86</v>
      </c>
      <c r="G67">
        <v>30.19</v>
      </c>
      <c r="H67">
        <v>2596.34</v>
      </c>
      <c r="I67" t="s">
        <v>37</v>
      </c>
      <c r="J67" t="s">
        <v>47</v>
      </c>
      <c r="K67" t="s">
        <v>152</v>
      </c>
    </row>
    <row r="68" spans="1:11" x14ac:dyDescent="0.3">
      <c r="A68" s="9">
        <v>45678</v>
      </c>
      <c r="B68" t="s">
        <v>20</v>
      </c>
      <c r="C68" t="s">
        <v>30</v>
      </c>
      <c r="D68" t="s">
        <v>13</v>
      </c>
      <c r="E68" t="s">
        <v>14</v>
      </c>
      <c r="F68">
        <v>81</v>
      </c>
      <c r="G68">
        <v>47.41</v>
      </c>
      <c r="H68">
        <v>3840.2099999999996</v>
      </c>
      <c r="I68" t="s">
        <v>147</v>
      </c>
      <c r="J68" t="s">
        <v>16</v>
      </c>
    </row>
    <row r="69" spans="1:11" x14ac:dyDescent="0.3">
      <c r="A69" s="9">
        <v>45678</v>
      </c>
      <c r="B69" t="s">
        <v>56</v>
      </c>
      <c r="C69" t="s">
        <v>12</v>
      </c>
      <c r="D69" t="s">
        <v>39</v>
      </c>
      <c r="E69" t="s">
        <v>40</v>
      </c>
      <c r="F69">
        <v>92</v>
      </c>
      <c r="G69">
        <v>50.83</v>
      </c>
      <c r="H69">
        <v>4676.3599999999997</v>
      </c>
      <c r="I69" t="s">
        <v>147</v>
      </c>
      <c r="J69" t="s">
        <v>47</v>
      </c>
      <c r="K69" t="s">
        <v>148</v>
      </c>
    </row>
    <row r="70" spans="1:11" x14ac:dyDescent="0.3">
      <c r="A70" s="9">
        <v>45678</v>
      </c>
      <c r="B70" t="s">
        <v>56</v>
      </c>
      <c r="C70" t="s">
        <v>12</v>
      </c>
      <c r="D70" t="s">
        <v>13</v>
      </c>
      <c r="E70" t="s">
        <v>14</v>
      </c>
      <c r="F70">
        <v>167</v>
      </c>
      <c r="G70">
        <v>43.46</v>
      </c>
      <c r="H70">
        <v>7257.82</v>
      </c>
      <c r="I70" t="s">
        <v>15</v>
      </c>
      <c r="J70" t="s">
        <v>47</v>
      </c>
      <c r="K70" t="s">
        <v>146</v>
      </c>
    </row>
    <row r="71" spans="1:11" x14ac:dyDescent="0.3">
      <c r="A71" s="9">
        <v>45678</v>
      </c>
      <c r="B71" t="s">
        <v>11</v>
      </c>
      <c r="C71" t="s">
        <v>45</v>
      </c>
      <c r="D71" t="s">
        <v>60</v>
      </c>
      <c r="E71" t="s">
        <v>44</v>
      </c>
      <c r="F71">
        <v>148</v>
      </c>
      <c r="G71">
        <v>126.68</v>
      </c>
      <c r="H71">
        <v>18748.64</v>
      </c>
      <c r="I71" t="s">
        <v>150</v>
      </c>
      <c r="J71" t="s">
        <v>47</v>
      </c>
      <c r="K71" t="s">
        <v>152</v>
      </c>
    </row>
    <row r="72" spans="1:11" x14ac:dyDescent="0.3">
      <c r="A72" s="9">
        <v>45678</v>
      </c>
      <c r="B72" t="s">
        <v>25</v>
      </c>
      <c r="C72" t="s">
        <v>19</v>
      </c>
      <c r="D72" t="s">
        <v>35</v>
      </c>
      <c r="E72" t="s">
        <v>32</v>
      </c>
      <c r="F72">
        <v>90</v>
      </c>
      <c r="G72">
        <v>13.53</v>
      </c>
      <c r="H72">
        <v>1217.7</v>
      </c>
      <c r="I72" t="s">
        <v>147</v>
      </c>
      <c r="J72" t="s">
        <v>16</v>
      </c>
      <c r="K72" t="s">
        <v>151</v>
      </c>
    </row>
    <row r="73" spans="1:11" x14ac:dyDescent="0.3">
      <c r="A73" s="9">
        <v>45679</v>
      </c>
      <c r="B73" t="s">
        <v>11</v>
      </c>
      <c r="C73" t="s">
        <v>12</v>
      </c>
      <c r="D73" t="s">
        <v>58</v>
      </c>
      <c r="E73" t="s">
        <v>22</v>
      </c>
      <c r="F73">
        <v>94</v>
      </c>
      <c r="G73">
        <v>26.43</v>
      </c>
      <c r="H73">
        <v>2484.42</v>
      </c>
      <c r="I73" t="s">
        <v>150</v>
      </c>
      <c r="J73" t="s">
        <v>16</v>
      </c>
      <c r="K73" t="s">
        <v>146</v>
      </c>
    </row>
    <row r="74" spans="1:11" x14ac:dyDescent="0.3">
      <c r="A74" s="9">
        <v>45679</v>
      </c>
      <c r="B74" t="s">
        <v>53</v>
      </c>
      <c r="C74" t="s">
        <v>45</v>
      </c>
      <c r="D74" t="s">
        <v>43</v>
      </c>
      <c r="E74" t="s">
        <v>44</v>
      </c>
      <c r="F74">
        <v>173</v>
      </c>
      <c r="G74">
        <v>121.16</v>
      </c>
      <c r="H74">
        <v>20960.68</v>
      </c>
      <c r="I74" t="s">
        <v>28</v>
      </c>
      <c r="J74" t="s">
        <v>16</v>
      </c>
      <c r="K74" t="s">
        <v>151</v>
      </c>
    </row>
    <row r="75" spans="1:11" x14ac:dyDescent="0.3">
      <c r="A75" s="9">
        <v>45679</v>
      </c>
      <c r="B75" t="s">
        <v>36</v>
      </c>
      <c r="C75" t="s">
        <v>45</v>
      </c>
      <c r="D75" t="s">
        <v>13</v>
      </c>
      <c r="E75" t="s">
        <v>14</v>
      </c>
      <c r="F75">
        <v>160</v>
      </c>
      <c r="G75">
        <v>41.84</v>
      </c>
      <c r="H75">
        <v>6694.4000000000005</v>
      </c>
      <c r="I75" t="s">
        <v>28</v>
      </c>
      <c r="J75" t="s">
        <v>47</v>
      </c>
    </row>
    <row r="76" spans="1:11" x14ac:dyDescent="0.3">
      <c r="A76" s="9">
        <v>45680</v>
      </c>
      <c r="B76" t="s">
        <v>56</v>
      </c>
      <c r="C76" t="s">
        <v>30</v>
      </c>
      <c r="D76" t="s">
        <v>13</v>
      </c>
      <c r="E76" t="s">
        <v>14</v>
      </c>
      <c r="F76">
        <v>55</v>
      </c>
      <c r="G76">
        <v>43.45</v>
      </c>
      <c r="H76">
        <v>2389.75</v>
      </c>
      <c r="I76" t="s">
        <v>147</v>
      </c>
      <c r="J76" t="s">
        <v>47</v>
      </c>
      <c r="K76" t="s">
        <v>146</v>
      </c>
    </row>
    <row r="77" spans="1:11" x14ac:dyDescent="0.3">
      <c r="A77" s="9">
        <v>45681</v>
      </c>
      <c r="B77" t="s">
        <v>56</v>
      </c>
      <c r="C77" t="s">
        <v>30</v>
      </c>
      <c r="D77" t="s">
        <v>43</v>
      </c>
      <c r="E77" t="s">
        <v>44</v>
      </c>
      <c r="F77">
        <v>170</v>
      </c>
      <c r="G77">
        <v>133.75</v>
      </c>
      <c r="H77">
        <v>22737.5</v>
      </c>
      <c r="I77" t="s">
        <v>15</v>
      </c>
      <c r="J77" t="s">
        <v>47</v>
      </c>
      <c r="K77" t="s">
        <v>152</v>
      </c>
    </row>
    <row r="78" spans="1:11" x14ac:dyDescent="0.3">
      <c r="A78" s="9">
        <v>45681</v>
      </c>
      <c r="B78" t="s">
        <v>20</v>
      </c>
      <c r="C78" t="s">
        <v>12</v>
      </c>
      <c r="D78" t="s">
        <v>48</v>
      </c>
      <c r="E78" t="s">
        <v>14</v>
      </c>
      <c r="F78">
        <v>16</v>
      </c>
      <c r="G78">
        <v>83.59</v>
      </c>
      <c r="H78">
        <v>1337.44</v>
      </c>
      <c r="I78" t="s">
        <v>150</v>
      </c>
      <c r="J78" t="s">
        <v>16</v>
      </c>
    </row>
    <row r="79" spans="1:11" x14ac:dyDescent="0.3">
      <c r="A79" s="9">
        <v>45681</v>
      </c>
      <c r="B79" t="s">
        <v>25</v>
      </c>
      <c r="C79" t="s">
        <v>30</v>
      </c>
      <c r="D79" t="s">
        <v>26</v>
      </c>
      <c r="E79" t="s">
        <v>27</v>
      </c>
      <c r="F79">
        <v>65</v>
      </c>
      <c r="G79">
        <v>53.34</v>
      </c>
      <c r="H79">
        <v>3467.1000000000004</v>
      </c>
      <c r="I79" t="s">
        <v>37</v>
      </c>
      <c r="J79" t="s">
        <v>29</v>
      </c>
    </row>
    <row r="80" spans="1:11" x14ac:dyDescent="0.3">
      <c r="A80" s="9">
        <v>45682</v>
      </c>
      <c r="B80" t="s">
        <v>56</v>
      </c>
      <c r="C80" t="s">
        <v>38</v>
      </c>
      <c r="D80" t="s">
        <v>43</v>
      </c>
      <c r="E80" t="s">
        <v>44</v>
      </c>
      <c r="F80">
        <v>173</v>
      </c>
      <c r="G80">
        <v>121.3</v>
      </c>
      <c r="H80">
        <v>20984.899999999998</v>
      </c>
      <c r="I80" t="s">
        <v>15</v>
      </c>
      <c r="J80" t="s">
        <v>29</v>
      </c>
      <c r="K80" t="s">
        <v>148</v>
      </c>
    </row>
    <row r="81" spans="1:11" x14ac:dyDescent="0.3">
      <c r="A81" s="9">
        <v>45682</v>
      </c>
      <c r="B81" t="s">
        <v>53</v>
      </c>
      <c r="C81" t="s">
        <v>30</v>
      </c>
      <c r="D81" t="s">
        <v>49</v>
      </c>
      <c r="E81" t="s">
        <v>50</v>
      </c>
      <c r="F81">
        <v>43</v>
      </c>
      <c r="G81">
        <v>18.5</v>
      </c>
      <c r="H81">
        <v>795.5</v>
      </c>
      <c r="I81" t="s">
        <v>147</v>
      </c>
      <c r="J81" t="s">
        <v>16</v>
      </c>
      <c r="K81" t="s">
        <v>146</v>
      </c>
    </row>
    <row r="82" spans="1:11" x14ac:dyDescent="0.3">
      <c r="A82" s="9">
        <v>45682</v>
      </c>
      <c r="B82" t="s">
        <v>11</v>
      </c>
      <c r="C82" t="s">
        <v>38</v>
      </c>
      <c r="D82" t="s">
        <v>31</v>
      </c>
      <c r="E82" t="s">
        <v>32</v>
      </c>
      <c r="F82">
        <v>113</v>
      </c>
      <c r="G82">
        <v>11.25</v>
      </c>
      <c r="H82">
        <v>1271.25</v>
      </c>
      <c r="I82" t="s">
        <v>15</v>
      </c>
      <c r="J82" t="s">
        <v>29</v>
      </c>
    </row>
    <row r="83" spans="1:11" x14ac:dyDescent="0.3">
      <c r="A83" s="9">
        <v>45683</v>
      </c>
      <c r="B83" t="s">
        <v>36</v>
      </c>
      <c r="C83" t="s">
        <v>45</v>
      </c>
      <c r="D83" t="s">
        <v>58</v>
      </c>
      <c r="E83" t="s">
        <v>22</v>
      </c>
      <c r="F83">
        <v>101</v>
      </c>
      <c r="G83">
        <v>24.1</v>
      </c>
      <c r="H83">
        <v>2434.1000000000004</v>
      </c>
      <c r="I83" t="s">
        <v>15</v>
      </c>
      <c r="J83" t="s">
        <v>29</v>
      </c>
    </row>
    <row r="84" spans="1:11" x14ac:dyDescent="0.3">
      <c r="A84" s="9">
        <v>45683</v>
      </c>
      <c r="B84" t="s">
        <v>25</v>
      </c>
      <c r="C84" t="s">
        <v>30</v>
      </c>
      <c r="D84" t="s">
        <v>21</v>
      </c>
      <c r="E84" t="s">
        <v>22</v>
      </c>
      <c r="F84">
        <v>196</v>
      </c>
      <c r="G84">
        <v>10.74</v>
      </c>
      <c r="H84">
        <v>2105.04</v>
      </c>
      <c r="I84" t="s">
        <v>15</v>
      </c>
      <c r="J84" t="s">
        <v>16</v>
      </c>
      <c r="K84" t="s">
        <v>148</v>
      </c>
    </row>
    <row r="85" spans="1:11" x14ac:dyDescent="0.3">
      <c r="A85" s="9">
        <v>45683</v>
      </c>
      <c r="B85" t="s">
        <v>25</v>
      </c>
      <c r="C85" t="s">
        <v>30</v>
      </c>
      <c r="D85" t="s">
        <v>49</v>
      </c>
      <c r="E85" t="s">
        <v>50</v>
      </c>
      <c r="F85">
        <v>84</v>
      </c>
      <c r="G85">
        <v>20.57</v>
      </c>
      <c r="H85">
        <v>1727.88</v>
      </c>
      <c r="I85" t="s">
        <v>150</v>
      </c>
      <c r="J85" t="s">
        <v>16</v>
      </c>
    </row>
    <row r="86" spans="1:11" x14ac:dyDescent="0.3">
      <c r="A86" s="9">
        <v>45683</v>
      </c>
      <c r="B86" t="s">
        <v>25</v>
      </c>
      <c r="C86" t="s">
        <v>30</v>
      </c>
      <c r="D86" t="s">
        <v>35</v>
      </c>
      <c r="E86" t="s">
        <v>32</v>
      </c>
      <c r="F86">
        <v>75</v>
      </c>
      <c r="G86">
        <v>14.29</v>
      </c>
      <c r="H86">
        <v>1071.75</v>
      </c>
      <c r="I86" t="s">
        <v>150</v>
      </c>
      <c r="J86" t="s">
        <v>16</v>
      </c>
      <c r="K86" t="s">
        <v>148</v>
      </c>
    </row>
    <row r="87" spans="1:11" x14ac:dyDescent="0.3">
      <c r="A87" s="9">
        <v>45683</v>
      </c>
      <c r="B87" t="s">
        <v>20</v>
      </c>
      <c r="C87" t="s">
        <v>45</v>
      </c>
      <c r="D87" t="s">
        <v>13</v>
      </c>
      <c r="E87" t="s">
        <v>14</v>
      </c>
      <c r="F87">
        <v>58</v>
      </c>
      <c r="G87">
        <v>46.13</v>
      </c>
      <c r="H87">
        <v>2675.54</v>
      </c>
      <c r="I87" t="s">
        <v>147</v>
      </c>
      <c r="J87" t="s">
        <v>47</v>
      </c>
    </row>
    <row r="88" spans="1:11" x14ac:dyDescent="0.3">
      <c r="A88" s="9">
        <v>45683</v>
      </c>
      <c r="B88" t="s">
        <v>18</v>
      </c>
      <c r="C88" t="s">
        <v>38</v>
      </c>
      <c r="D88" t="s">
        <v>60</v>
      </c>
      <c r="E88" t="s">
        <v>44</v>
      </c>
      <c r="F88">
        <v>134</v>
      </c>
      <c r="G88">
        <v>110.54</v>
      </c>
      <c r="H88">
        <v>14812.36</v>
      </c>
      <c r="I88" t="s">
        <v>37</v>
      </c>
      <c r="J88" t="s">
        <v>47</v>
      </c>
      <c r="K88" t="s">
        <v>146</v>
      </c>
    </row>
    <row r="89" spans="1:11" x14ac:dyDescent="0.3">
      <c r="A89" s="9">
        <v>45684</v>
      </c>
      <c r="B89" t="s">
        <v>25</v>
      </c>
      <c r="C89" t="s">
        <v>19</v>
      </c>
      <c r="D89" t="s">
        <v>48</v>
      </c>
      <c r="E89" t="s">
        <v>14</v>
      </c>
      <c r="F89">
        <v>60</v>
      </c>
      <c r="G89">
        <v>81.77</v>
      </c>
      <c r="H89">
        <v>4906.2</v>
      </c>
      <c r="I89" t="s">
        <v>150</v>
      </c>
      <c r="J89" t="s">
        <v>16</v>
      </c>
    </row>
    <row r="90" spans="1:11" x14ac:dyDescent="0.3">
      <c r="A90" s="9">
        <v>45684</v>
      </c>
      <c r="B90" t="s">
        <v>18</v>
      </c>
      <c r="C90" t="s">
        <v>45</v>
      </c>
      <c r="D90" t="s">
        <v>21</v>
      </c>
      <c r="E90" t="s">
        <v>22</v>
      </c>
      <c r="F90">
        <v>92</v>
      </c>
      <c r="G90">
        <v>9.82</v>
      </c>
      <c r="H90">
        <v>903.44</v>
      </c>
      <c r="I90" t="s">
        <v>28</v>
      </c>
      <c r="J90" t="s">
        <v>16</v>
      </c>
      <c r="K90" t="s">
        <v>148</v>
      </c>
    </row>
    <row r="91" spans="1:11" x14ac:dyDescent="0.3">
      <c r="A91" s="9">
        <v>45685</v>
      </c>
      <c r="B91" t="s">
        <v>20</v>
      </c>
      <c r="C91" t="s">
        <v>38</v>
      </c>
      <c r="D91" t="s">
        <v>35</v>
      </c>
      <c r="E91" t="s">
        <v>32</v>
      </c>
      <c r="F91">
        <v>147</v>
      </c>
      <c r="G91">
        <v>13.83</v>
      </c>
      <c r="H91">
        <v>2033.01</v>
      </c>
      <c r="I91" t="s">
        <v>15</v>
      </c>
      <c r="J91" t="s">
        <v>16</v>
      </c>
      <c r="K91" t="s">
        <v>152</v>
      </c>
    </row>
    <row r="92" spans="1:11" x14ac:dyDescent="0.3">
      <c r="A92" s="9">
        <v>45685</v>
      </c>
      <c r="B92" t="s">
        <v>20</v>
      </c>
      <c r="C92" t="s">
        <v>12</v>
      </c>
      <c r="D92" t="s">
        <v>21</v>
      </c>
      <c r="E92" t="s">
        <v>22</v>
      </c>
      <c r="F92">
        <v>101</v>
      </c>
      <c r="G92">
        <v>10.79</v>
      </c>
      <c r="H92">
        <v>1089.79</v>
      </c>
      <c r="I92" t="s">
        <v>147</v>
      </c>
      <c r="J92" t="s">
        <v>29</v>
      </c>
    </row>
    <row r="93" spans="1:11" x14ac:dyDescent="0.3">
      <c r="A93" s="9">
        <v>45685</v>
      </c>
      <c r="B93" t="s">
        <v>53</v>
      </c>
      <c r="C93" t="s">
        <v>45</v>
      </c>
      <c r="D93" t="s">
        <v>43</v>
      </c>
      <c r="E93" t="s">
        <v>44</v>
      </c>
      <c r="F93">
        <v>71</v>
      </c>
      <c r="G93">
        <v>130.55000000000001</v>
      </c>
      <c r="H93">
        <v>9269.0500000000011</v>
      </c>
      <c r="I93" t="s">
        <v>147</v>
      </c>
      <c r="J93" t="s">
        <v>29</v>
      </c>
      <c r="K93" t="s">
        <v>146</v>
      </c>
    </row>
    <row r="94" spans="1:11" x14ac:dyDescent="0.3">
      <c r="A94" s="9">
        <v>45686</v>
      </c>
      <c r="B94" t="s">
        <v>36</v>
      </c>
      <c r="C94" t="s">
        <v>19</v>
      </c>
      <c r="D94" t="s">
        <v>35</v>
      </c>
      <c r="E94" t="s">
        <v>32</v>
      </c>
      <c r="F94">
        <v>24</v>
      </c>
      <c r="G94">
        <v>14.15</v>
      </c>
      <c r="H94">
        <v>339.6</v>
      </c>
      <c r="I94" t="s">
        <v>37</v>
      </c>
      <c r="J94" t="s">
        <v>16</v>
      </c>
    </row>
    <row r="95" spans="1:11" x14ac:dyDescent="0.3">
      <c r="A95" s="9">
        <v>45686</v>
      </c>
      <c r="B95" t="s">
        <v>18</v>
      </c>
      <c r="C95" t="s">
        <v>19</v>
      </c>
      <c r="D95" t="s">
        <v>26</v>
      </c>
      <c r="E95" t="s">
        <v>27</v>
      </c>
      <c r="F95">
        <v>168</v>
      </c>
      <c r="G95">
        <v>53.82</v>
      </c>
      <c r="H95">
        <v>9041.76</v>
      </c>
      <c r="I95" t="s">
        <v>37</v>
      </c>
      <c r="J95" t="s">
        <v>47</v>
      </c>
      <c r="K95" t="s">
        <v>151</v>
      </c>
    </row>
    <row r="96" spans="1:11" x14ac:dyDescent="0.3">
      <c r="A96" s="9">
        <v>45686</v>
      </c>
      <c r="B96" t="s">
        <v>53</v>
      </c>
      <c r="C96" t="s">
        <v>45</v>
      </c>
      <c r="D96" t="s">
        <v>58</v>
      </c>
      <c r="E96" t="s">
        <v>22</v>
      </c>
      <c r="F96">
        <v>158</v>
      </c>
      <c r="G96">
        <v>26.73</v>
      </c>
      <c r="H96">
        <v>4223.34</v>
      </c>
      <c r="I96" t="s">
        <v>150</v>
      </c>
      <c r="J96" t="s">
        <v>16</v>
      </c>
      <c r="K96" t="s">
        <v>151</v>
      </c>
    </row>
    <row r="97" spans="1:11" x14ac:dyDescent="0.3">
      <c r="A97" s="9">
        <v>45687</v>
      </c>
      <c r="B97" t="s">
        <v>18</v>
      </c>
      <c r="C97" t="s">
        <v>45</v>
      </c>
      <c r="D97" t="s">
        <v>49</v>
      </c>
      <c r="E97" t="s">
        <v>50</v>
      </c>
      <c r="F97">
        <v>10</v>
      </c>
      <c r="G97">
        <v>20.14</v>
      </c>
      <c r="H97">
        <v>201.4</v>
      </c>
      <c r="I97" t="s">
        <v>15</v>
      </c>
      <c r="J97" t="s">
        <v>16</v>
      </c>
      <c r="K97" t="s">
        <v>146</v>
      </c>
    </row>
    <row r="98" spans="1:11" x14ac:dyDescent="0.3">
      <c r="A98" s="9">
        <v>45687</v>
      </c>
      <c r="B98" t="s">
        <v>25</v>
      </c>
      <c r="C98" t="s">
        <v>30</v>
      </c>
      <c r="D98" t="s">
        <v>60</v>
      </c>
      <c r="E98" t="s">
        <v>44</v>
      </c>
      <c r="F98">
        <v>87</v>
      </c>
      <c r="G98">
        <v>112.63</v>
      </c>
      <c r="H98">
        <v>9798.81</v>
      </c>
      <c r="I98" t="s">
        <v>28</v>
      </c>
      <c r="J98" t="s">
        <v>29</v>
      </c>
      <c r="K98" t="s">
        <v>152</v>
      </c>
    </row>
    <row r="99" spans="1:11" x14ac:dyDescent="0.3">
      <c r="A99" s="9">
        <v>45687</v>
      </c>
      <c r="B99" t="s">
        <v>34</v>
      </c>
      <c r="C99" t="s">
        <v>45</v>
      </c>
      <c r="D99" t="s">
        <v>35</v>
      </c>
      <c r="E99" t="s">
        <v>32</v>
      </c>
      <c r="F99">
        <v>119</v>
      </c>
      <c r="G99">
        <v>15.06</v>
      </c>
      <c r="H99">
        <v>1792.14</v>
      </c>
      <c r="I99" t="s">
        <v>15</v>
      </c>
      <c r="J99" t="s">
        <v>47</v>
      </c>
      <c r="K99" t="s">
        <v>148</v>
      </c>
    </row>
    <row r="100" spans="1:11" x14ac:dyDescent="0.3">
      <c r="A100" s="9">
        <v>45687</v>
      </c>
      <c r="B100" t="s">
        <v>36</v>
      </c>
      <c r="C100" t="s">
        <v>19</v>
      </c>
      <c r="D100" t="s">
        <v>13</v>
      </c>
      <c r="E100" t="s">
        <v>14</v>
      </c>
      <c r="F100">
        <v>195</v>
      </c>
      <c r="G100">
        <v>48.31</v>
      </c>
      <c r="H100">
        <v>9420.4500000000007</v>
      </c>
      <c r="I100" t="s">
        <v>15</v>
      </c>
      <c r="J100" t="s">
        <v>16</v>
      </c>
      <c r="K100" t="s">
        <v>146</v>
      </c>
    </row>
    <row r="101" spans="1:11" x14ac:dyDescent="0.3">
      <c r="A101" s="9">
        <v>45688</v>
      </c>
      <c r="B101" t="s">
        <v>20</v>
      </c>
      <c r="C101" t="s">
        <v>38</v>
      </c>
      <c r="D101" t="s">
        <v>59</v>
      </c>
      <c r="E101" t="s">
        <v>50</v>
      </c>
      <c r="F101">
        <v>198</v>
      </c>
      <c r="G101">
        <v>29.28</v>
      </c>
      <c r="H101">
        <v>5797.4400000000005</v>
      </c>
      <c r="I101" t="s">
        <v>15</v>
      </c>
      <c r="J101" t="s">
        <v>16</v>
      </c>
    </row>
    <row r="102" spans="1:11" x14ac:dyDescent="0.3">
      <c r="A102" s="9">
        <v>45688</v>
      </c>
      <c r="B102" t="s">
        <v>18</v>
      </c>
      <c r="C102" t="s">
        <v>12</v>
      </c>
      <c r="D102" t="s">
        <v>48</v>
      </c>
      <c r="E102" t="s">
        <v>14</v>
      </c>
      <c r="F102">
        <v>106</v>
      </c>
      <c r="G102">
        <v>78.69</v>
      </c>
      <c r="H102">
        <v>8341.14</v>
      </c>
      <c r="I102" t="s">
        <v>37</v>
      </c>
      <c r="J102" t="s">
        <v>16</v>
      </c>
      <c r="K102" t="s">
        <v>149</v>
      </c>
    </row>
    <row r="103" spans="1:11" x14ac:dyDescent="0.3">
      <c r="A103" s="9">
        <v>45689</v>
      </c>
      <c r="B103" t="s">
        <v>25</v>
      </c>
      <c r="C103" t="s">
        <v>12</v>
      </c>
      <c r="D103" t="s">
        <v>26</v>
      </c>
      <c r="E103" t="s">
        <v>27</v>
      </c>
      <c r="F103">
        <v>10</v>
      </c>
      <c r="G103">
        <v>54.36</v>
      </c>
      <c r="H103">
        <v>543.6</v>
      </c>
      <c r="I103" t="s">
        <v>15</v>
      </c>
      <c r="J103" t="s">
        <v>16</v>
      </c>
      <c r="K103" t="s">
        <v>148</v>
      </c>
    </row>
    <row r="104" spans="1:11" x14ac:dyDescent="0.3">
      <c r="A104" s="9">
        <v>45689</v>
      </c>
      <c r="B104" t="s">
        <v>56</v>
      </c>
      <c r="C104" t="s">
        <v>30</v>
      </c>
      <c r="D104" t="s">
        <v>21</v>
      </c>
      <c r="E104" t="s">
        <v>22</v>
      </c>
      <c r="F104">
        <v>162</v>
      </c>
      <c r="G104">
        <v>10.08</v>
      </c>
      <c r="H104">
        <v>1632.96</v>
      </c>
      <c r="I104" t="s">
        <v>37</v>
      </c>
      <c r="J104" t="s">
        <v>16</v>
      </c>
      <c r="K104" t="s">
        <v>152</v>
      </c>
    </row>
    <row r="105" spans="1:11" x14ac:dyDescent="0.3">
      <c r="A105" s="9">
        <v>45690</v>
      </c>
      <c r="B105" t="s">
        <v>18</v>
      </c>
      <c r="C105" t="s">
        <v>45</v>
      </c>
      <c r="D105" t="s">
        <v>54</v>
      </c>
      <c r="E105" t="s">
        <v>44</v>
      </c>
      <c r="F105">
        <v>200</v>
      </c>
      <c r="G105">
        <v>109.09</v>
      </c>
      <c r="H105">
        <v>21818</v>
      </c>
      <c r="I105" t="s">
        <v>147</v>
      </c>
      <c r="J105" t="s">
        <v>29</v>
      </c>
    </row>
    <row r="106" spans="1:11" x14ac:dyDescent="0.3">
      <c r="A106" s="9">
        <v>45690</v>
      </c>
      <c r="B106" t="s">
        <v>34</v>
      </c>
      <c r="C106" t="s">
        <v>45</v>
      </c>
      <c r="D106" t="s">
        <v>58</v>
      </c>
      <c r="E106" t="s">
        <v>22</v>
      </c>
      <c r="F106">
        <v>159</v>
      </c>
      <c r="G106">
        <v>24.3</v>
      </c>
      <c r="H106">
        <v>3863.7000000000003</v>
      </c>
      <c r="I106" t="s">
        <v>147</v>
      </c>
      <c r="J106" t="s">
        <v>29</v>
      </c>
    </row>
    <row r="107" spans="1:11" x14ac:dyDescent="0.3">
      <c r="A107" s="9">
        <v>45690</v>
      </c>
      <c r="B107" t="s">
        <v>53</v>
      </c>
      <c r="C107" t="s">
        <v>38</v>
      </c>
      <c r="D107" t="s">
        <v>59</v>
      </c>
      <c r="E107" t="s">
        <v>50</v>
      </c>
      <c r="F107">
        <v>175</v>
      </c>
      <c r="G107">
        <v>29.44</v>
      </c>
      <c r="H107">
        <v>5152</v>
      </c>
      <c r="I107" t="s">
        <v>147</v>
      </c>
      <c r="J107" t="s">
        <v>29</v>
      </c>
    </row>
    <row r="108" spans="1:11" x14ac:dyDescent="0.3">
      <c r="A108" s="9">
        <v>45690</v>
      </c>
      <c r="B108" t="s">
        <v>34</v>
      </c>
      <c r="C108" t="s">
        <v>30</v>
      </c>
      <c r="D108" t="s">
        <v>48</v>
      </c>
      <c r="E108" t="s">
        <v>14</v>
      </c>
      <c r="F108">
        <v>150</v>
      </c>
      <c r="G108">
        <v>78.209999999999994</v>
      </c>
      <c r="H108">
        <v>11731.499999999998</v>
      </c>
      <c r="I108" t="s">
        <v>28</v>
      </c>
      <c r="J108" t="s">
        <v>16</v>
      </c>
    </row>
    <row r="109" spans="1:11" x14ac:dyDescent="0.3">
      <c r="A109" s="9">
        <v>45691</v>
      </c>
      <c r="B109" t="s">
        <v>34</v>
      </c>
      <c r="C109" t="s">
        <v>38</v>
      </c>
      <c r="D109" t="s">
        <v>59</v>
      </c>
      <c r="E109" t="s">
        <v>50</v>
      </c>
      <c r="F109">
        <v>76</v>
      </c>
      <c r="G109">
        <v>29.39</v>
      </c>
      <c r="H109">
        <v>2233.64</v>
      </c>
      <c r="I109" t="s">
        <v>147</v>
      </c>
      <c r="J109" t="s">
        <v>16</v>
      </c>
    </row>
    <row r="110" spans="1:11" x14ac:dyDescent="0.3">
      <c r="A110" s="9">
        <v>45691</v>
      </c>
      <c r="B110" t="s">
        <v>53</v>
      </c>
      <c r="C110" t="s">
        <v>19</v>
      </c>
      <c r="D110" t="s">
        <v>39</v>
      </c>
      <c r="E110" t="s">
        <v>40</v>
      </c>
      <c r="F110">
        <v>145</v>
      </c>
      <c r="G110">
        <v>52.89</v>
      </c>
      <c r="H110">
        <v>7669.05</v>
      </c>
      <c r="I110" t="s">
        <v>28</v>
      </c>
      <c r="J110" t="s">
        <v>29</v>
      </c>
      <c r="K110" t="s">
        <v>151</v>
      </c>
    </row>
    <row r="111" spans="1:11" x14ac:dyDescent="0.3">
      <c r="A111" s="9">
        <v>45692</v>
      </c>
      <c r="B111" t="s">
        <v>25</v>
      </c>
      <c r="C111" t="s">
        <v>12</v>
      </c>
      <c r="D111" t="s">
        <v>21</v>
      </c>
      <c r="E111" t="s">
        <v>22</v>
      </c>
      <c r="F111">
        <v>189</v>
      </c>
      <c r="G111">
        <v>10.02</v>
      </c>
      <c r="H111">
        <v>1893.78</v>
      </c>
      <c r="I111" t="s">
        <v>37</v>
      </c>
      <c r="J111" t="s">
        <v>16</v>
      </c>
    </row>
    <row r="112" spans="1:11" x14ac:dyDescent="0.3">
      <c r="A112" s="9">
        <v>45692</v>
      </c>
      <c r="B112" t="s">
        <v>34</v>
      </c>
      <c r="C112" t="s">
        <v>12</v>
      </c>
      <c r="D112" t="s">
        <v>59</v>
      </c>
      <c r="E112" t="s">
        <v>50</v>
      </c>
      <c r="F112">
        <v>69</v>
      </c>
      <c r="G112">
        <v>28</v>
      </c>
      <c r="H112">
        <v>1932</v>
      </c>
      <c r="I112" t="s">
        <v>147</v>
      </c>
      <c r="J112" t="s">
        <v>16</v>
      </c>
    </row>
    <row r="113" spans="1:11" x14ac:dyDescent="0.3">
      <c r="A113" s="9">
        <v>45693</v>
      </c>
      <c r="B113" t="s">
        <v>20</v>
      </c>
      <c r="C113" t="s">
        <v>12</v>
      </c>
      <c r="D113" t="s">
        <v>60</v>
      </c>
      <c r="E113" t="s">
        <v>44</v>
      </c>
      <c r="F113">
        <v>102</v>
      </c>
      <c r="G113">
        <v>117.48</v>
      </c>
      <c r="H113">
        <v>11982.960000000001</v>
      </c>
      <c r="I113" t="s">
        <v>28</v>
      </c>
      <c r="J113" t="s">
        <v>47</v>
      </c>
      <c r="K113" t="s">
        <v>149</v>
      </c>
    </row>
    <row r="114" spans="1:11" x14ac:dyDescent="0.3">
      <c r="A114" s="9">
        <v>45693</v>
      </c>
      <c r="B114" t="s">
        <v>11</v>
      </c>
      <c r="C114" t="s">
        <v>19</v>
      </c>
      <c r="D114" t="s">
        <v>35</v>
      </c>
      <c r="E114" t="s">
        <v>32</v>
      </c>
      <c r="F114">
        <v>11</v>
      </c>
      <c r="G114">
        <v>13.41</v>
      </c>
      <c r="H114">
        <v>147.51</v>
      </c>
      <c r="I114" t="s">
        <v>150</v>
      </c>
      <c r="J114" t="s">
        <v>16</v>
      </c>
      <c r="K114" t="s">
        <v>148</v>
      </c>
    </row>
    <row r="115" spans="1:11" x14ac:dyDescent="0.3">
      <c r="A115" s="9">
        <v>45693</v>
      </c>
      <c r="B115" t="s">
        <v>11</v>
      </c>
      <c r="C115" t="s">
        <v>38</v>
      </c>
      <c r="D115" t="s">
        <v>52</v>
      </c>
      <c r="E115" t="s">
        <v>27</v>
      </c>
      <c r="F115">
        <v>174</v>
      </c>
      <c r="G115">
        <v>48.18</v>
      </c>
      <c r="H115">
        <v>8383.32</v>
      </c>
      <c r="I115" t="s">
        <v>37</v>
      </c>
      <c r="J115" t="s">
        <v>47</v>
      </c>
      <c r="K115" t="s">
        <v>149</v>
      </c>
    </row>
    <row r="116" spans="1:11" x14ac:dyDescent="0.3">
      <c r="A116" s="9">
        <v>45693</v>
      </c>
      <c r="B116" t="s">
        <v>34</v>
      </c>
      <c r="C116" t="s">
        <v>19</v>
      </c>
      <c r="D116" t="s">
        <v>59</v>
      </c>
      <c r="E116" t="s">
        <v>50</v>
      </c>
      <c r="F116">
        <v>134</v>
      </c>
      <c r="G116">
        <v>32.020000000000003</v>
      </c>
      <c r="H116">
        <v>4290.68</v>
      </c>
      <c r="I116" t="s">
        <v>147</v>
      </c>
      <c r="J116" t="s">
        <v>47</v>
      </c>
      <c r="K116" t="s">
        <v>152</v>
      </c>
    </row>
    <row r="117" spans="1:11" x14ac:dyDescent="0.3">
      <c r="A117" s="9">
        <v>45694</v>
      </c>
      <c r="B117" t="s">
        <v>36</v>
      </c>
      <c r="C117" t="s">
        <v>19</v>
      </c>
      <c r="D117" t="s">
        <v>48</v>
      </c>
      <c r="E117" t="s">
        <v>14</v>
      </c>
      <c r="F117">
        <v>126</v>
      </c>
      <c r="G117">
        <v>85.29</v>
      </c>
      <c r="H117">
        <v>10746.54</v>
      </c>
      <c r="I117" t="s">
        <v>15</v>
      </c>
      <c r="J117" t="s">
        <v>29</v>
      </c>
    </row>
    <row r="118" spans="1:11" x14ac:dyDescent="0.3">
      <c r="A118" s="9">
        <v>45694</v>
      </c>
      <c r="B118" t="s">
        <v>56</v>
      </c>
      <c r="C118" t="s">
        <v>12</v>
      </c>
      <c r="D118" t="s">
        <v>21</v>
      </c>
      <c r="E118" t="s">
        <v>22</v>
      </c>
      <c r="F118">
        <v>179</v>
      </c>
      <c r="G118">
        <v>9.61</v>
      </c>
      <c r="H118">
        <v>1720.1899999999998</v>
      </c>
      <c r="I118" t="s">
        <v>15</v>
      </c>
      <c r="J118" t="s">
        <v>47</v>
      </c>
    </row>
    <row r="119" spans="1:11" x14ac:dyDescent="0.3">
      <c r="A119" s="9">
        <v>45695</v>
      </c>
      <c r="B119" t="s">
        <v>56</v>
      </c>
      <c r="C119" t="s">
        <v>30</v>
      </c>
      <c r="D119" t="s">
        <v>59</v>
      </c>
      <c r="E119" t="s">
        <v>50</v>
      </c>
      <c r="F119">
        <v>118</v>
      </c>
      <c r="G119">
        <v>31.46</v>
      </c>
      <c r="H119">
        <v>3712.28</v>
      </c>
      <c r="I119" t="s">
        <v>37</v>
      </c>
      <c r="J119" t="s">
        <v>47</v>
      </c>
      <c r="K119" t="s">
        <v>146</v>
      </c>
    </row>
    <row r="120" spans="1:11" x14ac:dyDescent="0.3">
      <c r="A120" s="9">
        <v>45695</v>
      </c>
      <c r="B120" t="s">
        <v>25</v>
      </c>
      <c r="C120" t="s">
        <v>45</v>
      </c>
      <c r="D120" t="s">
        <v>31</v>
      </c>
      <c r="E120" t="s">
        <v>32</v>
      </c>
      <c r="F120">
        <v>54</v>
      </c>
      <c r="G120">
        <v>12.7</v>
      </c>
      <c r="H120">
        <v>685.8</v>
      </c>
      <c r="I120" t="s">
        <v>15</v>
      </c>
      <c r="J120" t="s">
        <v>16</v>
      </c>
      <c r="K120" t="s">
        <v>148</v>
      </c>
    </row>
    <row r="121" spans="1:11" x14ac:dyDescent="0.3">
      <c r="A121" s="9">
        <v>45695</v>
      </c>
      <c r="B121" t="s">
        <v>25</v>
      </c>
      <c r="C121" t="s">
        <v>30</v>
      </c>
      <c r="D121" t="s">
        <v>31</v>
      </c>
      <c r="E121" t="s">
        <v>32</v>
      </c>
      <c r="F121">
        <v>130</v>
      </c>
      <c r="G121">
        <v>11.31</v>
      </c>
      <c r="H121">
        <v>1470.3</v>
      </c>
      <c r="I121" t="s">
        <v>37</v>
      </c>
      <c r="J121" t="s">
        <v>16</v>
      </c>
    </row>
    <row r="122" spans="1:11" x14ac:dyDescent="0.3">
      <c r="A122" s="9">
        <v>45695</v>
      </c>
      <c r="B122" t="s">
        <v>53</v>
      </c>
      <c r="C122" t="s">
        <v>30</v>
      </c>
      <c r="D122" t="s">
        <v>21</v>
      </c>
      <c r="E122" t="s">
        <v>22</v>
      </c>
      <c r="F122">
        <v>35</v>
      </c>
      <c r="G122">
        <v>10.59</v>
      </c>
      <c r="H122">
        <v>370.65</v>
      </c>
      <c r="I122" t="s">
        <v>15</v>
      </c>
      <c r="J122" t="s">
        <v>16</v>
      </c>
      <c r="K122" t="s">
        <v>146</v>
      </c>
    </row>
    <row r="123" spans="1:11" x14ac:dyDescent="0.3">
      <c r="A123" s="9">
        <v>45696</v>
      </c>
      <c r="B123" t="s">
        <v>11</v>
      </c>
      <c r="C123" t="s">
        <v>30</v>
      </c>
      <c r="D123" t="s">
        <v>26</v>
      </c>
      <c r="E123" t="s">
        <v>27</v>
      </c>
      <c r="F123">
        <v>123</v>
      </c>
      <c r="G123">
        <v>57.61</v>
      </c>
      <c r="H123">
        <v>7086.03</v>
      </c>
      <c r="I123" t="s">
        <v>150</v>
      </c>
      <c r="J123" t="s">
        <v>16</v>
      </c>
    </row>
    <row r="124" spans="1:11" x14ac:dyDescent="0.3">
      <c r="A124" s="9">
        <v>45696</v>
      </c>
      <c r="B124" t="s">
        <v>25</v>
      </c>
      <c r="C124" t="s">
        <v>30</v>
      </c>
      <c r="D124" t="s">
        <v>52</v>
      </c>
      <c r="E124" t="s">
        <v>27</v>
      </c>
      <c r="F124">
        <v>192</v>
      </c>
      <c r="G124">
        <v>47.38</v>
      </c>
      <c r="H124">
        <v>9096.9600000000009</v>
      </c>
      <c r="I124" t="s">
        <v>15</v>
      </c>
      <c r="J124" t="s">
        <v>16</v>
      </c>
      <c r="K124" t="s">
        <v>151</v>
      </c>
    </row>
    <row r="125" spans="1:11" x14ac:dyDescent="0.3">
      <c r="A125" s="9">
        <v>45696</v>
      </c>
      <c r="B125" t="s">
        <v>25</v>
      </c>
      <c r="C125" t="s">
        <v>19</v>
      </c>
      <c r="D125" t="s">
        <v>54</v>
      </c>
      <c r="E125" t="s">
        <v>44</v>
      </c>
      <c r="F125">
        <v>13</v>
      </c>
      <c r="G125">
        <v>111.05</v>
      </c>
      <c r="H125">
        <v>1443.6499999999999</v>
      </c>
      <c r="I125" t="s">
        <v>147</v>
      </c>
      <c r="J125" t="s">
        <v>47</v>
      </c>
      <c r="K125" t="s">
        <v>148</v>
      </c>
    </row>
    <row r="126" spans="1:11" x14ac:dyDescent="0.3">
      <c r="A126" s="9">
        <v>45697</v>
      </c>
      <c r="B126" t="s">
        <v>34</v>
      </c>
      <c r="C126" t="s">
        <v>38</v>
      </c>
      <c r="D126" t="s">
        <v>43</v>
      </c>
      <c r="E126" t="s">
        <v>44</v>
      </c>
      <c r="F126">
        <v>12</v>
      </c>
      <c r="G126">
        <v>119.93</v>
      </c>
      <c r="H126">
        <v>1439.16</v>
      </c>
      <c r="I126" t="s">
        <v>28</v>
      </c>
      <c r="J126" t="s">
        <v>29</v>
      </c>
    </row>
    <row r="127" spans="1:11" x14ac:dyDescent="0.3">
      <c r="A127" s="9">
        <v>45697</v>
      </c>
      <c r="B127" t="s">
        <v>11</v>
      </c>
      <c r="C127" t="s">
        <v>12</v>
      </c>
      <c r="D127" t="s">
        <v>59</v>
      </c>
      <c r="E127" t="s">
        <v>50</v>
      </c>
      <c r="F127">
        <v>108</v>
      </c>
      <c r="G127">
        <v>29.71</v>
      </c>
      <c r="H127">
        <v>3208.6800000000003</v>
      </c>
      <c r="I127" t="s">
        <v>15</v>
      </c>
      <c r="J127" t="s">
        <v>16</v>
      </c>
    </row>
    <row r="128" spans="1:11" x14ac:dyDescent="0.3">
      <c r="A128" s="9">
        <v>45698</v>
      </c>
      <c r="B128" t="s">
        <v>34</v>
      </c>
      <c r="C128" t="s">
        <v>30</v>
      </c>
      <c r="D128" t="s">
        <v>21</v>
      </c>
      <c r="E128" t="s">
        <v>22</v>
      </c>
      <c r="F128">
        <v>182</v>
      </c>
      <c r="G128">
        <v>9.57</v>
      </c>
      <c r="H128">
        <v>1741.74</v>
      </c>
      <c r="I128" t="s">
        <v>28</v>
      </c>
      <c r="J128" t="s">
        <v>47</v>
      </c>
      <c r="K128" t="s">
        <v>151</v>
      </c>
    </row>
    <row r="129" spans="1:11" x14ac:dyDescent="0.3">
      <c r="A129" s="9">
        <v>45698</v>
      </c>
      <c r="B129" t="s">
        <v>25</v>
      </c>
      <c r="C129" t="s">
        <v>45</v>
      </c>
      <c r="D129" t="s">
        <v>21</v>
      </c>
      <c r="E129" t="s">
        <v>22</v>
      </c>
      <c r="F129">
        <v>178</v>
      </c>
      <c r="G129">
        <v>9.43</v>
      </c>
      <c r="H129">
        <v>1678.54</v>
      </c>
      <c r="I129" t="s">
        <v>150</v>
      </c>
      <c r="J129" t="s">
        <v>16</v>
      </c>
    </row>
    <row r="130" spans="1:11" x14ac:dyDescent="0.3">
      <c r="A130" s="9">
        <v>45698</v>
      </c>
      <c r="B130" t="s">
        <v>11</v>
      </c>
      <c r="C130" t="s">
        <v>30</v>
      </c>
      <c r="D130" t="s">
        <v>58</v>
      </c>
      <c r="E130" t="s">
        <v>22</v>
      </c>
      <c r="F130">
        <v>168</v>
      </c>
      <c r="G130">
        <v>26.88</v>
      </c>
      <c r="H130">
        <v>4515.84</v>
      </c>
      <c r="I130" t="s">
        <v>37</v>
      </c>
      <c r="J130" t="s">
        <v>67</v>
      </c>
    </row>
    <row r="131" spans="1:11" x14ac:dyDescent="0.3">
      <c r="A131" s="9">
        <v>45699</v>
      </c>
      <c r="B131" t="s">
        <v>11</v>
      </c>
      <c r="C131" t="s">
        <v>45</v>
      </c>
      <c r="D131" t="s">
        <v>39</v>
      </c>
      <c r="E131" t="s">
        <v>40</v>
      </c>
      <c r="F131">
        <v>119</v>
      </c>
      <c r="G131">
        <v>51.58</v>
      </c>
      <c r="H131">
        <v>6138.0199999999995</v>
      </c>
      <c r="I131" t="s">
        <v>37</v>
      </c>
      <c r="J131" t="s">
        <v>16</v>
      </c>
      <c r="K131" t="s">
        <v>152</v>
      </c>
    </row>
    <row r="132" spans="1:11" x14ac:dyDescent="0.3">
      <c r="A132" s="9">
        <v>45699</v>
      </c>
      <c r="B132" t="s">
        <v>25</v>
      </c>
      <c r="C132" t="s">
        <v>38</v>
      </c>
      <c r="D132" t="s">
        <v>21</v>
      </c>
      <c r="E132" t="s">
        <v>22</v>
      </c>
      <c r="F132">
        <v>74</v>
      </c>
      <c r="G132">
        <v>9.49</v>
      </c>
      <c r="H132">
        <v>702.26</v>
      </c>
      <c r="I132" t="s">
        <v>15</v>
      </c>
      <c r="J132" t="s">
        <v>47</v>
      </c>
      <c r="K132" t="s">
        <v>148</v>
      </c>
    </row>
    <row r="133" spans="1:11" x14ac:dyDescent="0.3">
      <c r="A133" s="9">
        <v>45699</v>
      </c>
      <c r="B133" t="s">
        <v>18</v>
      </c>
      <c r="C133" t="s">
        <v>30</v>
      </c>
      <c r="D133" t="s">
        <v>35</v>
      </c>
      <c r="E133" t="s">
        <v>32</v>
      </c>
      <c r="F133">
        <v>21</v>
      </c>
      <c r="G133">
        <v>14.21</v>
      </c>
      <c r="H133">
        <v>298.41000000000003</v>
      </c>
      <c r="I133" t="s">
        <v>147</v>
      </c>
      <c r="J133" t="s">
        <v>47</v>
      </c>
    </row>
    <row r="134" spans="1:11" x14ac:dyDescent="0.3">
      <c r="A134" s="9">
        <v>45699</v>
      </c>
      <c r="B134" t="s">
        <v>53</v>
      </c>
      <c r="C134" t="s">
        <v>19</v>
      </c>
      <c r="D134" t="s">
        <v>59</v>
      </c>
      <c r="E134" t="s">
        <v>50</v>
      </c>
      <c r="F134">
        <v>25</v>
      </c>
      <c r="G134">
        <v>29.2</v>
      </c>
      <c r="H134">
        <v>730</v>
      </c>
      <c r="I134" t="s">
        <v>147</v>
      </c>
      <c r="J134" t="s">
        <v>16</v>
      </c>
    </row>
    <row r="135" spans="1:11" x14ac:dyDescent="0.3">
      <c r="A135" s="9">
        <v>45699</v>
      </c>
      <c r="B135" t="s">
        <v>34</v>
      </c>
      <c r="C135" t="s">
        <v>38</v>
      </c>
      <c r="D135" t="s">
        <v>43</v>
      </c>
      <c r="E135" t="s">
        <v>44</v>
      </c>
      <c r="F135">
        <v>191</v>
      </c>
      <c r="G135">
        <v>133.46</v>
      </c>
      <c r="H135">
        <v>25490.86</v>
      </c>
      <c r="I135" t="s">
        <v>150</v>
      </c>
      <c r="J135" t="s">
        <v>16</v>
      </c>
      <c r="K135" t="s">
        <v>146</v>
      </c>
    </row>
    <row r="136" spans="1:11" x14ac:dyDescent="0.3">
      <c r="A136" s="9">
        <v>45699</v>
      </c>
      <c r="B136" t="s">
        <v>18</v>
      </c>
      <c r="C136" t="s">
        <v>12</v>
      </c>
      <c r="D136" t="s">
        <v>43</v>
      </c>
      <c r="E136" t="s">
        <v>44</v>
      </c>
      <c r="F136">
        <v>160</v>
      </c>
      <c r="G136">
        <v>122.59</v>
      </c>
      <c r="H136">
        <v>19614.400000000001</v>
      </c>
      <c r="I136" t="s">
        <v>15</v>
      </c>
      <c r="J136" t="s">
        <v>47</v>
      </c>
      <c r="K136" t="s">
        <v>149</v>
      </c>
    </row>
    <row r="137" spans="1:11" x14ac:dyDescent="0.3">
      <c r="A137" s="9">
        <v>45700</v>
      </c>
      <c r="B137" t="s">
        <v>34</v>
      </c>
      <c r="C137" t="s">
        <v>30</v>
      </c>
      <c r="D137" t="s">
        <v>60</v>
      </c>
      <c r="E137" t="s">
        <v>44</v>
      </c>
      <c r="F137">
        <v>93</v>
      </c>
      <c r="G137">
        <v>116.03</v>
      </c>
      <c r="H137">
        <v>10790.79</v>
      </c>
      <c r="I137" t="s">
        <v>37</v>
      </c>
      <c r="J137" t="s">
        <v>47</v>
      </c>
    </row>
    <row r="138" spans="1:11" x14ac:dyDescent="0.3">
      <c r="A138" s="9">
        <v>45700</v>
      </c>
      <c r="B138" t="s">
        <v>36</v>
      </c>
      <c r="C138" t="s">
        <v>45</v>
      </c>
      <c r="D138" t="s">
        <v>26</v>
      </c>
      <c r="E138" t="s">
        <v>27</v>
      </c>
      <c r="F138">
        <v>39</v>
      </c>
      <c r="G138">
        <v>56.91</v>
      </c>
      <c r="H138">
        <v>2219.4899999999998</v>
      </c>
      <c r="I138" t="s">
        <v>28</v>
      </c>
      <c r="J138" t="s">
        <v>29</v>
      </c>
      <c r="K138" t="s">
        <v>152</v>
      </c>
    </row>
    <row r="139" spans="1:11" x14ac:dyDescent="0.3">
      <c r="A139" s="9">
        <v>45700</v>
      </c>
      <c r="B139" t="s">
        <v>11</v>
      </c>
      <c r="C139" t="s">
        <v>19</v>
      </c>
      <c r="D139" t="s">
        <v>43</v>
      </c>
      <c r="E139" t="s">
        <v>44</v>
      </c>
      <c r="F139">
        <v>57</v>
      </c>
      <c r="G139">
        <v>128.97999999999999</v>
      </c>
      <c r="H139">
        <v>7351.86</v>
      </c>
      <c r="I139" t="s">
        <v>147</v>
      </c>
      <c r="J139" t="s">
        <v>16</v>
      </c>
      <c r="K139" t="s">
        <v>149</v>
      </c>
    </row>
    <row r="140" spans="1:11" x14ac:dyDescent="0.3">
      <c r="A140" s="9">
        <v>45700</v>
      </c>
      <c r="B140" t="s">
        <v>20</v>
      </c>
      <c r="C140" t="s">
        <v>38</v>
      </c>
      <c r="D140" t="s">
        <v>43</v>
      </c>
      <c r="E140" t="s">
        <v>44</v>
      </c>
      <c r="F140">
        <v>20</v>
      </c>
      <c r="G140">
        <v>140.16</v>
      </c>
      <c r="H140">
        <v>2803.2</v>
      </c>
      <c r="I140" t="s">
        <v>15</v>
      </c>
      <c r="J140" t="s">
        <v>16</v>
      </c>
    </row>
    <row r="141" spans="1:11" x14ac:dyDescent="0.3">
      <c r="A141" s="9">
        <v>45700</v>
      </c>
      <c r="B141" t="s">
        <v>56</v>
      </c>
      <c r="C141" t="s">
        <v>45</v>
      </c>
      <c r="D141" t="s">
        <v>39</v>
      </c>
      <c r="E141" t="s">
        <v>40</v>
      </c>
      <c r="F141">
        <v>87</v>
      </c>
      <c r="G141">
        <v>55.56</v>
      </c>
      <c r="H141">
        <v>4833.72</v>
      </c>
      <c r="I141" t="s">
        <v>147</v>
      </c>
      <c r="J141" t="s">
        <v>16</v>
      </c>
      <c r="K141" t="s">
        <v>148</v>
      </c>
    </row>
    <row r="142" spans="1:11" x14ac:dyDescent="0.3">
      <c r="A142" s="9">
        <v>45700</v>
      </c>
      <c r="B142" t="s">
        <v>11</v>
      </c>
      <c r="C142" t="s">
        <v>12</v>
      </c>
      <c r="D142" t="s">
        <v>26</v>
      </c>
      <c r="E142" t="s">
        <v>27</v>
      </c>
      <c r="F142">
        <v>87</v>
      </c>
      <c r="G142">
        <v>58.94</v>
      </c>
      <c r="H142">
        <v>5127.78</v>
      </c>
      <c r="I142" t="s">
        <v>15</v>
      </c>
      <c r="J142" t="s">
        <v>29</v>
      </c>
      <c r="K142" t="s">
        <v>149</v>
      </c>
    </row>
    <row r="143" spans="1:11" x14ac:dyDescent="0.3">
      <c r="A143" s="9">
        <v>45701</v>
      </c>
      <c r="B143" t="s">
        <v>25</v>
      </c>
      <c r="C143" t="s">
        <v>12</v>
      </c>
      <c r="D143" t="s">
        <v>59</v>
      </c>
      <c r="E143" t="s">
        <v>50</v>
      </c>
      <c r="F143">
        <v>32</v>
      </c>
      <c r="G143">
        <v>29.68</v>
      </c>
      <c r="H143">
        <v>949.76</v>
      </c>
      <c r="I143" t="s">
        <v>150</v>
      </c>
      <c r="J143" t="s">
        <v>29</v>
      </c>
    </row>
    <row r="144" spans="1:11" x14ac:dyDescent="0.3">
      <c r="A144" s="9">
        <v>45702</v>
      </c>
      <c r="B144" t="s">
        <v>53</v>
      </c>
      <c r="C144" t="s">
        <v>45</v>
      </c>
      <c r="D144" t="s">
        <v>49</v>
      </c>
      <c r="E144" t="s">
        <v>50</v>
      </c>
      <c r="F144">
        <v>107</v>
      </c>
      <c r="G144">
        <v>19.170000000000002</v>
      </c>
      <c r="H144">
        <v>2051.19</v>
      </c>
      <c r="I144" t="s">
        <v>28</v>
      </c>
      <c r="J144" t="s">
        <v>29</v>
      </c>
    </row>
    <row r="145" spans="1:11" x14ac:dyDescent="0.3">
      <c r="A145" s="9">
        <v>45702</v>
      </c>
      <c r="B145" t="s">
        <v>18</v>
      </c>
      <c r="C145" t="s">
        <v>38</v>
      </c>
      <c r="D145" t="s">
        <v>60</v>
      </c>
      <c r="E145" t="s">
        <v>44</v>
      </c>
      <c r="F145">
        <v>111</v>
      </c>
      <c r="G145">
        <v>113.98</v>
      </c>
      <c r="H145">
        <v>12651.78</v>
      </c>
      <c r="I145" t="s">
        <v>150</v>
      </c>
      <c r="J145" t="s">
        <v>16</v>
      </c>
    </row>
    <row r="146" spans="1:11" x14ac:dyDescent="0.3">
      <c r="A146" s="9">
        <v>45702</v>
      </c>
      <c r="B146" t="s">
        <v>25</v>
      </c>
      <c r="C146" t="s">
        <v>12</v>
      </c>
      <c r="D146" t="s">
        <v>48</v>
      </c>
      <c r="E146" t="s">
        <v>14</v>
      </c>
      <c r="F146">
        <v>54</v>
      </c>
      <c r="G146">
        <v>87.73</v>
      </c>
      <c r="H146">
        <v>4737.42</v>
      </c>
      <c r="I146" t="s">
        <v>147</v>
      </c>
      <c r="J146" t="s">
        <v>16</v>
      </c>
    </row>
    <row r="147" spans="1:11" x14ac:dyDescent="0.3">
      <c r="A147" s="9">
        <v>45702</v>
      </c>
      <c r="B147" t="s">
        <v>34</v>
      </c>
      <c r="C147" t="s">
        <v>30</v>
      </c>
      <c r="D147" t="s">
        <v>39</v>
      </c>
      <c r="E147" t="s">
        <v>40</v>
      </c>
      <c r="F147">
        <v>40</v>
      </c>
      <c r="G147">
        <v>58.14</v>
      </c>
      <c r="H147">
        <v>2325.6</v>
      </c>
      <c r="I147" t="s">
        <v>15</v>
      </c>
      <c r="J147" t="s">
        <v>16</v>
      </c>
      <c r="K147" t="s">
        <v>149</v>
      </c>
    </row>
    <row r="148" spans="1:11" x14ac:dyDescent="0.3">
      <c r="A148" s="9">
        <v>45703</v>
      </c>
      <c r="B148" t="s">
        <v>53</v>
      </c>
      <c r="C148" t="s">
        <v>19</v>
      </c>
      <c r="D148" t="s">
        <v>49</v>
      </c>
      <c r="E148" t="s">
        <v>50</v>
      </c>
      <c r="F148">
        <v>173</v>
      </c>
      <c r="G148">
        <v>19.04</v>
      </c>
      <c r="H148">
        <v>3293.92</v>
      </c>
      <c r="I148" t="s">
        <v>15</v>
      </c>
      <c r="J148" t="s">
        <v>47</v>
      </c>
      <c r="K148" t="s">
        <v>146</v>
      </c>
    </row>
    <row r="149" spans="1:11" x14ac:dyDescent="0.3">
      <c r="A149" s="9">
        <v>45703</v>
      </c>
      <c r="B149" t="s">
        <v>53</v>
      </c>
      <c r="C149" t="s">
        <v>38</v>
      </c>
      <c r="D149" t="s">
        <v>43</v>
      </c>
      <c r="E149" t="s">
        <v>44</v>
      </c>
      <c r="F149">
        <v>198</v>
      </c>
      <c r="G149">
        <v>127.45</v>
      </c>
      <c r="H149">
        <v>25235.100000000002</v>
      </c>
      <c r="I149" t="s">
        <v>150</v>
      </c>
      <c r="J149" t="s">
        <v>16</v>
      </c>
    </row>
    <row r="150" spans="1:11" x14ac:dyDescent="0.3">
      <c r="A150" s="9">
        <v>45703</v>
      </c>
      <c r="B150" t="s">
        <v>56</v>
      </c>
      <c r="C150" t="s">
        <v>12</v>
      </c>
      <c r="D150" t="s">
        <v>31</v>
      </c>
      <c r="E150" t="s">
        <v>32</v>
      </c>
      <c r="F150">
        <v>89</v>
      </c>
      <c r="G150">
        <v>12.89</v>
      </c>
      <c r="H150">
        <v>1147.21</v>
      </c>
      <c r="I150" t="s">
        <v>15</v>
      </c>
      <c r="J150" t="s">
        <v>16</v>
      </c>
      <c r="K150" t="s">
        <v>148</v>
      </c>
    </row>
    <row r="151" spans="1:11" x14ac:dyDescent="0.3">
      <c r="A151" s="9">
        <v>45703</v>
      </c>
      <c r="B151" t="s">
        <v>11</v>
      </c>
      <c r="C151" t="s">
        <v>38</v>
      </c>
      <c r="D151" t="s">
        <v>60</v>
      </c>
      <c r="E151" t="s">
        <v>44</v>
      </c>
      <c r="F151">
        <v>40</v>
      </c>
      <c r="G151">
        <v>119.87</v>
      </c>
      <c r="H151">
        <v>4794.8</v>
      </c>
      <c r="I151" t="s">
        <v>28</v>
      </c>
      <c r="J151" t="s">
        <v>16</v>
      </c>
      <c r="K151" t="s">
        <v>148</v>
      </c>
    </row>
    <row r="152" spans="1:11" x14ac:dyDescent="0.3">
      <c r="A152" s="9">
        <v>45704</v>
      </c>
      <c r="B152" t="s">
        <v>25</v>
      </c>
      <c r="C152" t="s">
        <v>12</v>
      </c>
      <c r="D152" t="s">
        <v>52</v>
      </c>
      <c r="E152" t="s">
        <v>27</v>
      </c>
      <c r="F152">
        <v>24</v>
      </c>
      <c r="G152">
        <v>48.14</v>
      </c>
      <c r="H152">
        <v>1155.3600000000001</v>
      </c>
      <c r="I152" t="s">
        <v>15</v>
      </c>
      <c r="J152" t="s">
        <v>16</v>
      </c>
      <c r="K152" t="s">
        <v>148</v>
      </c>
    </row>
    <row r="153" spans="1:11" x14ac:dyDescent="0.3">
      <c r="A153" s="9">
        <v>45705</v>
      </c>
      <c r="B153" t="s">
        <v>25</v>
      </c>
      <c r="C153" t="s">
        <v>19</v>
      </c>
      <c r="D153" t="s">
        <v>21</v>
      </c>
      <c r="E153" t="s">
        <v>22</v>
      </c>
      <c r="F153">
        <v>193</v>
      </c>
      <c r="G153">
        <v>10.26</v>
      </c>
      <c r="H153">
        <v>1980.18</v>
      </c>
      <c r="I153" t="s">
        <v>147</v>
      </c>
      <c r="J153" t="s">
        <v>16</v>
      </c>
    </row>
    <row r="154" spans="1:11" x14ac:dyDescent="0.3">
      <c r="A154" s="9">
        <v>45705</v>
      </c>
      <c r="B154" t="s">
        <v>18</v>
      </c>
      <c r="C154" t="s">
        <v>12</v>
      </c>
      <c r="D154" t="s">
        <v>26</v>
      </c>
      <c r="E154" t="s">
        <v>27</v>
      </c>
      <c r="F154">
        <v>45</v>
      </c>
      <c r="G154">
        <v>52.59</v>
      </c>
      <c r="H154">
        <v>2366.5500000000002</v>
      </c>
      <c r="I154" t="s">
        <v>37</v>
      </c>
      <c r="J154" t="s">
        <v>16</v>
      </c>
    </row>
    <row r="155" spans="1:11" x14ac:dyDescent="0.3">
      <c r="A155" s="9">
        <v>45706</v>
      </c>
      <c r="B155" t="s">
        <v>53</v>
      </c>
      <c r="C155" t="s">
        <v>30</v>
      </c>
      <c r="D155" t="s">
        <v>58</v>
      </c>
      <c r="E155" t="s">
        <v>22</v>
      </c>
      <c r="F155">
        <v>120</v>
      </c>
      <c r="G155">
        <v>24.64</v>
      </c>
      <c r="H155">
        <v>2956.8</v>
      </c>
      <c r="I155" t="s">
        <v>150</v>
      </c>
      <c r="J155" t="s">
        <v>69</v>
      </c>
      <c r="K155" t="s">
        <v>149</v>
      </c>
    </row>
    <row r="156" spans="1:11" x14ac:dyDescent="0.3">
      <c r="A156" s="9">
        <v>45706</v>
      </c>
      <c r="B156" t="s">
        <v>25</v>
      </c>
      <c r="C156" t="s">
        <v>30</v>
      </c>
      <c r="D156" t="s">
        <v>35</v>
      </c>
      <c r="E156" t="s">
        <v>32</v>
      </c>
      <c r="F156">
        <v>16</v>
      </c>
      <c r="G156">
        <v>14.21</v>
      </c>
      <c r="H156">
        <v>227.36</v>
      </c>
      <c r="I156" t="s">
        <v>15</v>
      </c>
      <c r="J156" t="s">
        <v>29</v>
      </c>
      <c r="K156" t="s">
        <v>146</v>
      </c>
    </row>
    <row r="157" spans="1:11" x14ac:dyDescent="0.3">
      <c r="A157" s="9">
        <v>45706</v>
      </c>
      <c r="B157" t="s">
        <v>11</v>
      </c>
      <c r="C157" t="s">
        <v>30</v>
      </c>
      <c r="D157" t="s">
        <v>54</v>
      </c>
      <c r="E157" t="s">
        <v>44</v>
      </c>
      <c r="F157">
        <v>110</v>
      </c>
      <c r="G157">
        <v>106.28</v>
      </c>
      <c r="H157">
        <v>11690.8</v>
      </c>
      <c r="I157" t="s">
        <v>37</v>
      </c>
      <c r="J157" t="s">
        <v>16</v>
      </c>
    </row>
    <row r="158" spans="1:11" x14ac:dyDescent="0.3">
      <c r="A158" s="9">
        <v>45709</v>
      </c>
      <c r="B158" t="s">
        <v>56</v>
      </c>
      <c r="C158" t="s">
        <v>45</v>
      </c>
      <c r="D158" t="s">
        <v>43</v>
      </c>
      <c r="E158" t="s">
        <v>44</v>
      </c>
      <c r="F158">
        <v>71</v>
      </c>
      <c r="G158">
        <v>133.52000000000001</v>
      </c>
      <c r="H158">
        <v>9479.92</v>
      </c>
      <c r="I158" t="s">
        <v>37</v>
      </c>
      <c r="J158" t="s">
        <v>16</v>
      </c>
    </row>
    <row r="159" spans="1:11" x14ac:dyDescent="0.3">
      <c r="A159" s="9">
        <v>45709</v>
      </c>
      <c r="B159" t="s">
        <v>34</v>
      </c>
      <c r="C159" t="s">
        <v>38</v>
      </c>
      <c r="D159" t="s">
        <v>60</v>
      </c>
      <c r="E159" t="s">
        <v>44</v>
      </c>
      <c r="F159">
        <v>163</v>
      </c>
      <c r="G159">
        <v>123.81</v>
      </c>
      <c r="H159">
        <v>20181.03</v>
      </c>
      <c r="I159" t="s">
        <v>15</v>
      </c>
      <c r="J159" t="s">
        <v>16</v>
      </c>
    </row>
    <row r="160" spans="1:11" x14ac:dyDescent="0.3">
      <c r="A160" s="9">
        <v>45709</v>
      </c>
      <c r="B160" t="s">
        <v>18</v>
      </c>
      <c r="C160" t="s">
        <v>19</v>
      </c>
      <c r="D160" t="s">
        <v>59</v>
      </c>
      <c r="E160" t="s">
        <v>50</v>
      </c>
      <c r="F160">
        <v>198</v>
      </c>
      <c r="G160">
        <v>29.16</v>
      </c>
      <c r="H160">
        <v>5773.68</v>
      </c>
      <c r="I160" t="s">
        <v>15</v>
      </c>
      <c r="J160" t="s">
        <v>16</v>
      </c>
    </row>
    <row r="161" spans="1:11" x14ac:dyDescent="0.3">
      <c r="A161" s="9">
        <v>45709</v>
      </c>
      <c r="B161" t="s">
        <v>11</v>
      </c>
      <c r="C161" t="s">
        <v>12</v>
      </c>
      <c r="D161" t="s">
        <v>13</v>
      </c>
      <c r="E161" t="s">
        <v>14</v>
      </c>
      <c r="F161">
        <v>131</v>
      </c>
      <c r="G161">
        <v>45.72</v>
      </c>
      <c r="H161">
        <v>5989.32</v>
      </c>
      <c r="I161" t="s">
        <v>15</v>
      </c>
      <c r="J161" t="s">
        <v>16</v>
      </c>
      <c r="K161" t="s">
        <v>149</v>
      </c>
    </row>
    <row r="162" spans="1:11" x14ac:dyDescent="0.3">
      <c r="A162" s="9">
        <v>45710</v>
      </c>
      <c r="B162" t="s">
        <v>34</v>
      </c>
      <c r="C162" t="s">
        <v>45</v>
      </c>
      <c r="D162" t="s">
        <v>26</v>
      </c>
      <c r="E162" t="s">
        <v>27</v>
      </c>
      <c r="F162">
        <v>74</v>
      </c>
      <c r="G162">
        <v>58.05</v>
      </c>
      <c r="H162">
        <v>4295.7</v>
      </c>
      <c r="I162" t="s">
        <v>150</v>
      </c>
      <c r="J162" t="s">
        <v>16</v>
      </c>
    </row>
    <row r="163" spans="1:11" x14ac:dyDescent="0.3">
      <c r="A163" s="9">
        <v>45710</v>
      </c>
      <c r="B163" t="s">
        <v>34</v>
      </c>
      <c r="C163" t="s">
        <v>45</v>
      </c>
      <c r="D163" t="s">
        <v>43</v>
      </c>
      <c r="E163" t="s">
        <v>44</v>
      </c>
      <c r="F163">
        <v>83</v>
      </c>
      <c r="G163">
        <v>134.12</v>
      </c>
      <c r="H163">
        <v>11131.960000000001</v>
      </c>
      <c r="I163" t="s">
        <v>147</v>
      </c>
      <c r="J163" t="s">
        <v>47</v>
      </c>
      <c r="K163" t="s">
        <v>148</v>
      </c>
    </row>
    <row r="164" spans="1:11" x14ac:dyDescent="0.3">
      <c r="A164" s="9">
        <v>45710</v>
      </c>
      <c r="B164" t="s">
        <v>20</v>
      </c>
      <c r="C164" t="s">
        <v>12</v>
      </c>
      <c r="D164" t="s">
        <v>26</v>
      </c>
      <c r="E164" t="s">
        <v>27</v>
      </c>
      <c r="F164">
        <v>25</v>
      </c>
      <c r="G164">
        <v>51.85</v>
      </c>
      <c r="H164">
        <v>1296.25</v>
      </c>
      <c r="I164" t="s">
        <v>28</v>
      </c>
      <c r="J164" t="s">
        <v>16</v>
      </c>
      <c r="K164" t="s">
        <v>151</v>
      </c>
    </row>
    <row r="165" spans="1:11" x14ac:dyDescent="0.3">
      <c r="A165" s="9">
        <v>45710</v>
      </c>
      <c r="B165" t="s">
        <v>25</v>
      </c>
      <c r="C165" t="s">
        <v>19</v>
      </c>
      <c r="D165" t="s">
        <v>52</v>
      </c>
      <c r="E165" t="s">
        <v>27</v>
      </c>
      <c r="F165">
        <v>125</v>
      </c>
      <c r="G165">
        <v>51.36</v>
      </c>
      <c r="H165">
        <v>6420</v>
      </c>
      <c r="I165" t="s">
        <v>150</v>
      </c>
      <c r="J165" t="s">
        <v>16</v>
      </c>
    </row>
    <row r="166" spans="1:11" x14ac:dyDescent="0.3">
      <c r="A166" s="9">
        <v>45711</v>
      </c>
      <c r="B166" t="s">
        <v>34</v>
      </c>
      <c r="C166" t="s">
        <v>19</v>
      </c>
      <c r="D166" t="s">
        <v>58</v>
      </c>
      <c r="E166" t="s">
        <v>22</v>
      </c>
      <c r="F166">
        <v>43</v>
      </c>
      <c r="G166">
        <v>25.6</v>
      </c>
      <c r="H166">
        <v>1100.8</v>
      </c>
      <c r="I166" t="s">
        <v>28</v>
      </c>
      <c r="J166" t="s">
        <v>16</v>
      </c>
      <c r="K166" t="s">
        <v>152</v>
      </c>
    </row>
    <row r="167" spans="1:11" x14ac:dyDescent="0.3">
      <c r="A167" s="9">
        <v>45713</v>
      </c>
      <c r="B167" t="s">
        <v>20</v>
      </c>
      <c r="C167" t="s">
        <v>45</v>
      </c>
      <c r="D167" t="s">
        <v>21</v>
      </c>
      <c r="E167" t="s">
        <v>22</v>
      </c>
      <c r="F167">
        <v>16</v>
      </c>
      <c r="G167">
        <v>10.35</v>
      </c>
      <c r="H167">
        <v>165.6</v>
      </c>
      <c r="I167" t="s">
        <v>37</v>
      </c>
      <c r="J167" t="s">
        <v>29</v>
      </c>
    </row>
    <row r="168" spans="1:11" x14ac:dyDescent="0.3">
      <c r="A168" s="9">
        <v>45713</v>
      </c>
      <c r="B168" t="s">
        <v>18</v>
      </c>
      <c r="C168" t="s">
        <v>12</v>
      </c>
      <c r="D168" t="s">
        <v>35</v>
      </c>
      <c r="E168" t="s">
        <v>32</v>
      </c>
      <c r="F168">
        <v>115</v>
      </c>
      <c r="G168">
        <v>13.9</v>
      </c>
      <c r="H168">
        <v>1598.5</v>
      </c>
      <c r="I168" t="s">
        <v>28</v>
      </c>
      <c r="J168" t="s">
        <v>29</v>
      </c>
    </row>
    <row r="169" spans="1:11" x14ac:dyDescent="0.3">
      <c r="A169" s="9">
        <v>45713</v>
      </c>
      <c r="B169" t="s">
        <v>25</v>
      </c>
      <c r="C169" t="s">
        <v>45</v>
      </c>
      <c r="D169" t="s">
        <v>59</v>
      </c>
      <c r="E169" t="s">
        <v>50</v>
      </c>
      <c r="F169">
        <v>172</v>
      </c>
      <c r="G169">
        <v>31.23</v>
      </c>
      <c r="H169">
        <v>5371.56</v>
      </c>
      <c r="I169" t="s">
        <v>37</v>
      </c>
      <c r="J169" t="s">
        <v>16</v>
      </c>
    </row>
    <row r="170" spans="1:11" x14ac:dyDescent="0.3">
      <c r="A170" s="9">
        <v>45713</v>
      </c>
      <c r="B170" t="s">
        <v>25</v>
      </c>
      <c r="C170" t="s">
        <v>19</v>
      </c>
      <c r="D170" t="s">
        <v>31</v>
      </c>
      <c r="E170" t="s">
        <v>32</v>
      </c>
      <c r="F170">
        <v>71</v>
      </c>
      <c r="G170">
        <v>11.21</v>
      </c>
      <c r="H170">
        <v>795.91000000000008</v>
      </c>
      <c r="I170" t="s">
        <v>28</v>
      </c>
      <c r="J170" t="s">
        <v>29</v>
      </c>
    </row>
    <row r="171" spans="1:11" x14ac:dyDescent="0.3">
      <c r="A171" s="9">
        <v>45714</v>
      </c>
      <c r="B171" t="s">
        <v>11</v>
      </c>
      <c r="C171" t="s">
        <v>19</v>
      </c>
      <c r="D171" t="s">
        <v>52</v>
      </c>
      <c r="E171" t="s">
        <v>27</v>
      </c>
      <c r="F171">
        <v>86</v>
      </c>
      <c r="G171">
        <v>50.62</v>
      </c>
      <c r="H171">
        <v>4353.32</v>
      </c>
      <c r="I171" t="s">
        <v>37</v>
      </c>
      <c r="J171" t="s">
        <v>16</v>
      </c>
      <c r="K171" t="s">
        <v>152</v>
      </c>
    </row>
    <row r="172" spans="1:11" x14ac:dyDescent="0.3">
      <c r="A172" s="9">
        <v>45714</v>
      </c>
      <c r="B172" t="s">
        <v>25</v>
      </c>
      <c r="C172" t="s">
        <v>12</v>
      </c>
      <c r="D172" t="s">
        <v>59</v>
      </c>
      <c r="E172" t="s">
        <v>50</v>
      </c>
      <c r="F172">
        <v>149</v>
      </c>
      <c r="G172">
        <v>30.64</v>
      </c>
      <c r="H172">
        <v>4565.3599999999997</v>
      </c>
      <c r="I172" t="s">
        <v>37</v>
      </c>
      <c r="J172" t="s">
        <v>16</v>
      </c>
      <c r="K172" t="s">
        <v>152</v>
      </c>
    </row>
    <row r="173" spans="1:11" x14ac:dyDescent="0.3">
      <c r="A173" s="9">
        <v>45714</v>
      </c>
      <c r="B173" t="s">
        <v>18</v>
      </c>
      <c r="C173" t="s">
        <v>19</v>
      </c>
      <c r="D173" t="s">
        <v>49</v>
      </c>
      <c r="E173" t="s">
        <v>50</v>
      </c>
      <c r="F173">
        <v>102</v>
      </c>
      <c r="G173">
        <v>20.75</v>
      </c>
      <c r="H173">
        <v>2116.5</v>
      </c>
      <c r="I173" t="s">
        <v>37</v>
      </c>
      <c r="J173" t="s">
        <v>16</v>
      </c>
    </row>
    <row r="174" spans="1:11" x14ac:dyDescent="0.3">
      <c r="A174" s="9">
        <v>45715</v>
      </c>
      <c r="B174" t="s">
        <v>34</v>
      </c>
      <c r="C174" t="s">
        <v>38</v>
      </c>
      <c r="D174" t="s">
        <v>59</v>
      </c>
      <c r="E174" t="s">
        <v>50</v>
      </c>
      <c r="F174">
        <v>127</v>
      </c>
      <c r="G174">
        <v>31.31</v>
      </c>
      <c r="H174">
        <v>3976.37</v>
      </c>
      <c r="I174" t="s">
        <v>147</v>
      </c>
      <c r="J174" t="s">
        <v>47</v>
      </c>
      <c r="K174" t="s">
        <v>151</v>
      </c>
    </row>
    <row r="175" spans="1:11" x14ac:dyDescent="0.3">
      <c r="A175" s="9">
        <v>45717</v>
      </c>
      <c r="B175" t="s">
        <v>18</v>
      </c>
      <c r="C175" t="s">
        <v>38</v>
      </c>
      <c r="D175" t="s">
        <v>39</v>
      </c>
      <c r="E175" t="s">
        <v>40</v>
      </c>
      <c r="F175">
        <v>64</v>
      </c>
      <c r="G175">
        <v>54.19</v>
      </c>
      <c r="H175">
        <v>3468.16</v>
      </c>
      <c r="I175" t="s">
        <v>147</v>
      </c>
      <c r="J175" t="s">
        <v>16</v>
      </c>
    </row>
    <row r="176" spans="1:11" x14ac:dyDescent="0.3">
      <c r="A176" s="9">
        <v>45718</v>
      </c>
      <c r="B176" t="s">
        <v>53</v>
      </c>
      <c r="C176" t="s">
        <v>12</v>
      </c>
      <c r="D176" t="s">
        <v>26</v>
      </c>
      <c r="E176" t="s">
        <v>27</v>
      </c>
      <c r="F176">
        <v>156</v>
      </c>
      <c r="G176">
        <v>58.14</v>
      </c>
      <c r="H176">
        <v>9069.84</v>
      </c>
      <c r="I176" t="s">
        <v>28</v>
      </c>
      <c r="J176" t="s">
        <v>29</v>
      </c>
      <c r="K176" t="s">
        <v>149</v>
      </c>
    </row>
    <row r="177" spans="1:11" x14ac:dyDescent="0.3">
      <c r="A177" s="9">
        <v>45718</v>
      </c>
      <c r="B177" t="s">
        <v>36</v>
      </c>
      <c r="C177" t="s">
        <v>12</v>
      </c>
      <c r="D177" t="s">
        <v>49</v>
      </c>
      <c r="E177" t="s">
        <v>50</v>
      </c>
      <c r="F177">
        <v>87</v>
      </c>
      <c r="G177">
        <v>19.37</v>
      </c>
      <c r="H177">
        <v>1685.19</v>
      </c>
      <c r="I177" t="s">
        <v>28</v>
      </c>
      <c r="J177" t="s">
        <v>16</v>
      </c>
    </row>
    <row r="178" spans="1:11" x14ac:dyDescent="0.3">
      <c r="A178" s="9">
        <v>45719</v>
      </c>
      <c r="B178" t="s">
        <v>18</v>
      </c>
      <c r="C178" t="s">
        <v>12</v>
      </c>
      <c r="D178" t="s">
        <v>52</v>
      </c>
      <c r="E178" t="s">
        <v>27</v>
      </c>
      <c r="F178">
        <v>71</v>
      </c>
      <c r="G178">
        <v>49.12</v>
      </c>
      <c r="H178">
        <v>3487.52</v>
      </c>
      <c r="I178" t="s">
        <v>150</v>
      </c>
      <c r="J178" t="s">
        <v>16</v>
      </c>
    </row>
    <row r="179" spans="1:11" x14ac:dyDescent="0.3">
      <c r="A179" s="9">
        <v>45719</v>
      </c>
      <c r="B179" t="s">
        <v>36</v>
      </c>
      <c r="C179" t="s">
        <v>30</v>
      </c>
      <c r="D179" t="s">
        <v>58</v>
      </c>
      <c r="E179" t="s">
        <v>22</v>
      </c>
      <c r="F179">
        <v>147</v>
      </c>
      <c r="G179">
        <v>23.76</v>
      </c>
      <c r="H179">
        <v>3492.7200000000003</v>
      </c>
      <c r="I179" t="s">
        <v>15</v>
      </c>
      <c r="J179" t="s">
        <v>16</v>
      </c>
      <c r="K179" t="s">
        <v>151</v>
      </c>
    </row>
    <row r="180" spans="1:11" x14ac:dyDescent="0.3">
      <c r="A180" s="9">
        <v>45720</v>
      </c>
      <c r="B180" t="s">
        <v>11</v>
      </c>
      <c r="C180" t="s">
        <v>45</v>
      </c>
      <c r="D180" t="s">
        <v>43</v>
      </c>
      <c r="E180" t="s">
        <v>44</v>
      </c>
      <c r="F180">
        <v>108</v>
      </c>
      <c r="G180">
        <v>132.07</v>
      </c>
      <c r="H180">
        <v>14263.56</v>
      </c>
      <c r="I180" t="s">
        <v>150</v>
      </c>
      <c r="J180" t="s">
        <v>16</v>
      </c>
      <c r="K180" t="s">
        <v>149</v>
      </c>
    </row>
    <row r="181" spans="1:11" x14ac:dyDescent="0.3">
      <c r="A181" s="9">
        <v>45720</v>
      </c>
      <c r="B181" t="s">
        <v>20</v>
      </c>
      <c r="C181" t="s">
        <v>19</v>
      </c>
      <c r="D181" t="s">
        <v>58</v>
      </c>
      <c r="E181" t="s">
        <v>22</v>
      </c>
      <c r="F181">
        <v>30</v>
      </c>
      <c r="G181">
        <v>26.43</v>
      </c>
      <c r="H181">
        <v>792.9</v>
      </c>
      <c r="I181" t="s">
        <v>37</v>
      </c>
      <c r="J181" t="s">
        <v>29</v>
      </c>
    </row>
    <row r="182" spans="1:11" x14ac:dyDescent="0.3">
      <c r="A182" s="9">
        <v>45720</v>
      </c>
      <c r="B182" t="s">
        <v>25</v>
      </c>
      <c r="C182" t="s">
        <v>30</v>
      </c>
      <c r="D182" t="s">
        <v>13</v>
      </c>
      <c r="E182" t="s">
        <v>14</v>
      </c>
      <c r="F182">
        <v>16</v>
      </c>
      <c r="G182">
        <v>43.89</v>
      </c>
      <c r="H182">
        <v>702.24</v>
      </c>
      <c r="I182" t="s">
        <v>15</v>
      </c>
      <c r="J182" t="s">
        <v>16</v>
      </c>
      <c r="K182" t="s">
        <v>148</v>
      </c>
    </row>
    <row r="183" spans="1:11" x14ac:dyDescent="0.3">
      <c r="A183" s="9">
        <v>45720</v>
      </c>
      <c r="B183" t="s">
        <v>25</v>
      </c>
      <c r="C183" t="s">
        <v>30</v>
      </c>
      <c r="D183" t="s">
        <v>31</v>
      </c>
      <c r="E183" t="s">
        <v>32</v>
      </c>
      <c r="F183">
        <v>166</v>
      </c>
      <c r="G183">
        <v>12.08</v>
      </c>
      <c r="H183">
        <v>2005.28</v>
      </c>
      <c r="I183" t="s">
        <v>28</v>
      </c>
      <c r="J183" t="s">
        <v>69</v>
      </c>
    </row>
    <row r="184" spans="1:11" x14ac:dyDescent="0.3">
      <c r="A184" s="9">
        <v>45722</v>
      </c>
      <c r="B184" t="s">
        <v>20</v>
      </c>
      <c r="C184" t="s">
        <v>45</v>
      </c>
      <c r="D184" t="s">
        <v>31</v>
      </c>
      <c r="E184" t="s">
        <v>32</v>
      </c>
      <c r="F184">
        <v>42</v>
      </c>
      <c r="G184">
        <v>12.22</v>
      </c>
      <c r="H184">
        <v>513.24</v>
      </c>
      <c r="I184" t="s">
        <v>147</v>
      </c>
      <c r="J184" t="s">
        <v>47</v>
      </c>
      <c r="K184" t="s">
        <v>151</v>
      </c>
    </row>
    <row r="185" spans="1:11" x14ac:dyDescent="0.3">
      <c r="A185" s="9">
        <v>45722</v>
      </c>
      <c r="B185" t="s">
        <v>53</v>
      </c>
      <c r="C185" t="s">
        <v>38</v>
      </c>
      <c r="D185" t="s">
        <v>39</v>
      </c>
      <c r="E185" t="s">
        <v>40</v>
      </c>
      <c r="F185">
        <v>158</v>
      </c>
      <c r="G185">
        <v>53.51</v>
      </c>
      <c r="H185">
        <v>8454.58</v>
      </c>
      <c r="I185" t="s">
        <v>150</v>
      </c>
      <c r="J185" t="s">
        <v>16</v>
      </c>
    </row>
    <row r="186" spans="1:11" x14ac:dyDescent="0.3">
      <c r="A186" s="9">
        <v>45722</v>
      </c>
      <c r="B186" t="s">
        <v>36</v>
      </c>
      <c r="C186" t="s">
        <v>45</v>
      </c>
      <c r="D186" t="s">
        <v>59</v>
      </c>
      <c r="E186" t="s">
        <v>50</v>
      </c>
      <c r="F186">
        <v>126</v>
      </c>
      <c r="G186">
        <v>31.15</v>
      </c>
      <c r="H186">
        <v>3924.8999999999996</v>
      </c>
      <c r="I186" t="s">
        <v>28</v>
      </c>
      <c r="J186" t="s">
        <v>16</v>
      </c>
    </row>
    <row r="187" spans="1:11" x14ac:dyDescent="0.3">
      <c r="A187" s="9">
        <v>45722</v>
      </c>
      <c r="B187" t="s">
        <v>18</v>
      </c>
      <c r="C187" t="s">
        <v>19</v>
      </c>
      <c r="D187" t="s">
        <v>13</v>
      </c>
      <c r="E187" t="s">
        <v>14</v>
      </c>
      <c r="F187">
        <v>181</v>
      </c>
      <c r="G187">
        <v>48.37</v>
      </c>
      <c r="H187">
        <v>8754.9699999999993</v>
      </c>
      <c r="I187" t="s">
        <v>28</v>
      </c>
      <c r="J187" t="s">
        <v>16</v>
      </c>
      <c r="K187" t="s">
        <v>151</v>
      </c>
    </row>
    <row r="188" spans="1:11" x14ac:dyDescent="0.3">
      <c r="A188" s="9">
        <v>45723</v>
      </c>
      <c r="B188" t="s">
        <v>34</v>
      </c>
      <c r="C188" t="s">
        <v>30</v>
      </c>
      <c r="D188" t="s">
        <v>21</v>
      </c>
      <c r="E188" t="s">
        <v>22</v>
      </c>
      <c r="F188">
        <v>112</v>
      </c>
      <c r="G188">
        <v>9.5500000000000007</v>
      </c>
      <c r="H188">
        <v>1069.6000000000001</v>
      </c>
      <c r="I188" t="s">
        <v>147</v>
      </c>
      <c r="J188" t="s">
        <v>29</v>
      </c>
    </row>
    <row r="189" spans="1:11" x14ac:dyDescent="0.3">
      <c r="A189" s="9">
        <v>45724</v>
      </c>
      <c r="B189" t="s">
        <v>36</v>
      </c>
      <c r="C189" t="s">
        <v>12</v>
      </c>
      <c r="D189" t="s">
        <v>43</v>
      </c>
      <c r="E189" t="s">
        <v>44</v>
      </c>
      <c r="F189">
        <v>189</v>
      </c>
      <c r="G189">
        <v>126.47</v>
      </c>
      <c r="H189">
        <v>23902.829999999998</v>
      </c>
      <c r="I189" t="s">
        <v>28</v>
      </c>
      <c r="J189" t="s">
        <v>29</v>
      </c>
      <c r="K189" t="s">
        <v>151</v>
      </c>
    </row>
    <row r="190" spans="1:11" x14ac:dyDescent="0.3">
      <c r="A190" s="9">
        <v>45725</v>
      </c>
      <c r="B190" t="s">
        <v>25</v>
      </c>
      <c r="C190" t="s">
        <v>38</v>
      </c>
      <c r="D190" t="s">
        <v>39</v>
      </c>
      <c r="E190" t="s">
        <v>40</v>
      </c>
      <c r="F190">
        <v>153</v>
      </c>
      <c r="G190">
        <v>57.17</v>
      </c>
      <c r="H190">
        <v>8747.01</v>
      </c>
      <c r="I190" t="s">
        <v>28</v>
      </c>
      <c r="J190" t="s">
        <v>16</v>
      </c>
      <c r="K190" t="s">
        <v>152</v>
      </c>
    </row>
    <row r="191" spans="1:11" x14ac:dyDescent="0.3">
      <c r="A191" s="9">
        <v>45725</v>
      </c>
      <c r="B191" t="s">
        <v>18</v>
      </c>
      <c r="C191" t="s">
        <v>38</v>
      </c>
      <c r="D191" t="s">
        <v>58</v>
      </c>
      <c r="E191" t="s">
        <v>22</v>
      </c>
      <c r="F191">
        <v>175</v>
      </c>
      <c r="G191">
        <v>24.26</v>
      </c>
      <c r="H191">
        <v>4245.5</v>
      </c>
      <c r="I191" t="s">
        <v>15</v>
      </c>
      <c r="J191" t="s">
        <v>29</v>
      </c>
    </row>
    <row r="192" spans="1:11" x14ac:dyDescent="0.3">
      <c r="A192" s="9">
        <v>45725</v>
      </c>
      <c r="B192" t="s">
        <v>20</v>
      </c>
      <c r="C192" t="s">
        <v>19</v>
      </c>
      <c r="D192" t="s">
        <v>26</v>
      </c>
      <c r="E192" t="s">
        <v>27</v>
      </c>
      <c r="F192">
        <v>166</v>
      </c>
      <c r="G192">
        <v>52.22</v>
      </c>
      <c r="H192">
        <v>8668.52</v>
      </c>
      <c r="I192" t="s">
        <v>37</v>
      </c>
      <c r="J192" t="s">
        <v>16</v>
      </c>
      <c r="K192" t="s">
        <v>146</v>
      </c>
    </row>
    <row r="193" spans="1:11" x14ac:dyDescent="0.3">
      <c r="A193" s="9">
        <v>45725</v>
      </c>
      <c r="B193" t="s">
        <v>20</v>
      </c>
      <c r="C193" t="s">
        <v>45</v>
      </c>
      <c r="D193" t="s">
        <v>26</v>
      </c>
      <c r="E193" t="s">
        <v>27</v>
      </c>
      <c r="F193">
        <v>73</v>
      </c>
      <c r="G193">
        <v>56.62</v>
      </c>
      <c r="H193">
        <v>4133.26</v>
      </c>
      <c r="I193" t="s">
        <v>37</v>
      </c>
      <c r="J193" t="s">
        <v>16</v>
      </c>
      <c r="K193" t="s">
        <v>149</v>
      </c>
    </row>
    <row r="194" spans="1:11" x14ac:dyDescent="0.3">
      <c r="A194" s="9">
        <v>45726</v>
      </c>
      <c r="B194" t="s">
        <v>25</v>
      </c>
      <c r="C194" t="s">
        <v>30</v>
      </c>
      <c r="D194" t="s">
        <v>13</v>
      </c>
      <c r="E194" t="s">
        <v>14</v>
      </c>
      <c r="F194">
        <v>19</v>
      </c>
      <c r="G194">
        <v>43</v>
      </c>
      <c r="H194">
        <v>817</v>
      </c>
      <c r="I194" t="s">
        <v>15</v>
      </c>
      <c r="J194" t="s">
        <v>16</v>
      </c>
    </row>
    <row r="195" spans="1:11" x14ac:dyDescent="0.3">
      <c r="A195" s="9">
        <v>45726</v>
      </c>
      <c r="B195" t="s">
        <v>18</v>
      </c>
      <c r="C195" t="s">
        <v>45</v>
      </c>
      <c r="D195" t="s">
        <v>21</v>
      </c>
      <c r="E195" t="s">
        <v>22</v>
      </c>
      <c r="F195">
        <v>20</v>
      </c>
      <c r="G195">
        <v>9.5</v>
      </c>
      <c r="H195">
        <v>190</v>
      </c>
      <c r="I195" t="s">
        <v>150</v>
      </c>
      <c r="J195" t="s">
        <v>47</v>
      </c>
      <c r="K195" t="s">
        <v>151</v>
      </c>
    </row>
    <row r="196" spans="1:11" x14ac:dyDescent="0.3">
      <c r="A196" s="9">
        <v>45726</v>
      </c>
      <c r="B196" t="s">
        <v>25</v>
      </c>
      <c r="C196" t="s">
        <v>12</v>
      </c>
      <c r="D196" t="s">
        <v>39</v>
      </c>
      <c r="E196" t="s">
        <v>40</v>
      </c>
      <c r="F196">
        <v>172</v>
      </c>
      <c r="G196">
        <v>54.03</v>
      </c>
      <c r="H196">
        <v>9293.16</v>
      </c>
      <c r="I196" t="s">
        <v>37</v>
      </c>
      <c r="J196" t="s">
        <v>16</v>
      </c>
    </row>
    <row r="197" spans="1:11" x14ac:dyDescent="0.3">
      <c r="A197" s="9">
        <v>45726</v>
      </c>
      <c r="B197" t="s">
        <v>36</v>
      </c>
      <c r="C197" t="s">
        <v>19</v>
      </c>
      <c r="D197" t="s">
        <v>48</v>
      </c>
      <c r="E197" t="s">
        <v>14</v>
      </c>
      <c r="F197">
        <v>150</v>
      </c>
      <c r="G197">
        <v>85.9</v>
      </c>
      <c r="H197">
        <v>12885</v>
      </c>
      <c r="I197" t="s">
        <v>15</v>
      </c>
      <c r="J197" t="s">
        <v>16</v>
      </c>
      <c r="K197" t="s">
        <v>146</v>
      </c>
    </row>
    <row r="198" spans="1:11" x14ac:dyDescent="0.3">
      <c r="A198" s="9">
        <v>45726</v>
      </c>
      <c r="B198" t="s">
        <v>18</v>
      </c>
      <c r="C198" t="s">
        <v>45</v>
      </c>
      <c r="D198" t="s">
        <v>58</v>
      </c>
      <c r="E198" t="s">
        <v>22</v>
      </c>
      <c r="F198">
        <v>32</v>
      </c>
      <c r="G198">
        <v>23.85</v>
      </c>
      <c r="H198">
        <v>763.2</v>
      </c>
      <c r="I198" t="s">
        <v>37</v>
      </c>
      <c r="J198" t="s">
        <v>47</v>
      </c>
      <c r="K198" t="s">
        <v>152</v>
      </c>
    </row>
    <row r="199" spans="1:11" x14ac:dyDescent="0.3">
      <c r="A199" s="9">
        <v>45727</v>
      </c>
      <c r="B199" t="s">
        <v>18</v>
      </c>
      <c r="C199" t="s">
        <v>12</v>
      </c>
      <c r="D199" t="s">
        <v>60</v>
      </c>
      <c r="E199" t="s">
        <v>44</v>
      </c>
      <c r="F199">
        <v>109</v>
      </c>
      <c r="G199">
        <v>123.44</v>
      </c>
      <c r="H199">
        <v>13454.96</v>
      </c>
      <c r="I199" t="s">
        <v>15</v>
      </c>
      <c r="J199" t="s">
        <v>29</v>
      </c>
      <c r="K199" t="s">
        <v>152</v>
      </c>
    </row>
    <row r="200" spans="1:11" x14ac:dyDescent="0.3">
      <c r="A200" s="9">
        <v>45727</v>
      </c>
      <c r="B200" t="s">
        <v>34</v>
      </c>
      <c r="C200" t="s">
        <v>30</v>
      </c>
      <c r="D200" t="s">
        <v>31</v>
      </c>
      <c r="E200" t="s">
        <v>32</v>
      </c>
      <c r="F200">
        <v>177</v>
      </c>
      <c r="G200">
        <v>11.93</v>
      </c>
      <c r="H200">
        <v>2111.61</v>
      </c>
      <c r="I200" t="s">
        <v>150</v>
      </c>
      <c r="J200" t="s">
        <v>47</v>
      </c>
    </row>
    <row r="201" spans="1:11" x14ac:dyDescent="0.3">
      <c r="A201" s="9">
        <v>45727</v>
      </c>
      <c r="B201" t="s">
        <v>20</v>
      </c>
      <c r="C201" t="s">
        <v>19</v>
      </c>
      <c r="D201" t="s">
        <v>43</v>
      </c>
      <c r="E201" t="s">
        <v>44</v>
      </c>
      <c r="F201">
        <v>18</v>
      </c>
      <c r="G201">
        <v>120.84</v>
      </c>
      <c r="H201">
        <v>2175.12</v>
      </c>
      <c r="I201" t="s">
        <v>150</v>
      </c>
      <c r="J201" t="s">
        <v>29</v>
      </c>
    </row>
    <row r="202" spans="1:11" x14ac:dyDescent="0.3">
      <c r="A202" s="9">
        <v>45728</v>
      </c>
      <c r="B202" t="s">
        <v>53</v>
      </c>
      <c r="C202" t="s">
        <v>12</v>
      </c>
      <c r="D202" t="s">
        <v>26</v>
      </c>
      <c r="E202" t="s">
        <v>27</v>
      </c>
      <c r="F202">
        <v>198</v>
      </c>
      <c r="G202">
        <v>58</v>
      </c>
      <c r="H202">
        <v>11484</v>
      </c>
      <c r="I202" t="s">
        <v>15</v>
      </c>
      <c r="J202" t="s">
        <v>16</v>
      </c>
      <c r="K202" t="s">
        <v>152</v>
      </c>
    </row>
    <row r="203" spans="1:11" x14ac:dyDescent="0.3">
      <c r="A203" s="9">
        <v>45729</v>
      </c>
      <c r="B203" t="s">
        <v>18</v>
      </c>
      <c r="C203" t="s">
        <v>19</v>
      </c>
      <c r="D203" t="s">
        <v>54</v>
      </c>
      <c r="E203" t="s">
        <v>44</v>
      </c>
      <c r="F203">
        <v>154</v>
      </c>
      <c r="G203">
        <v>118.75</v>
      </c>
      <c r="H203">
        <v>18287.5</v>
      </c>
      <c r="I203" t="s">
        <v>28</v>
      </c>
      <c r="J203" t="s">
        <v>16</v>
      </c>
    </row>
    <row r="204" spans="1:11" x14ac:dyDescent="0.3">
      <c r="A204" s="9">
        <v>45729</v>
      </c>
      <c r="B204" t="s">
        <v>20</v>
      </c>
      <c r="C204" t="s">
        <v>38</v>
      </c>
      <c r="D204" t="s">
        <v>48</v>
      </c>
      <c r="E204" t="s">
        <v>14</v>
      </c>
      <c r="F204">
        <v>110</v>
      </c>
      <c r="G204">
        <v>79.39</v>
      </c>
      <c r="H204">
        <v>8732.9</v>
      </c>
      <c r="I204" t="s">
        <v>37</v>
      </c>
      <c r="J204" t="s">
        <v>47</v>
      </c>
      <c r="K204" t="s">
        <v>149</v>
      </c>
    </row>
    <row r="205" spans="1:11" x14ac:dyDescent="0.3">
      <c r="A205" s="9">
        <v>45729</v>
      </c>
      <c r="B205" t="s">
        <v>56</v>
      </c>
      <c r="C205" t="s">
        <v>12</v>
      </c>
      <c r="D205" t="s">
        <v>39</v>
      </c>
      <c r="E205" t="s">
        <v>40</v>
      </c>
      <c r="F205">
        <v>73</v>
      </c>
      <c r="G205">
        <v>54.42</v>
      </c>
      <c r="H205">
        <v>3972.6600000000003</v>
      </c>
      <c r="I205" t="s">
        <v>15</v>
      </c>
      <c r="J205" t="s">
        <v>16</v>
      </c>
      <c r="K205" t="s">
        <v>149</v>
      </c>
    </row>
    <row r="206" spans="1:11" x14ac:dyDescent="0.3">
      <c r="A206" s="9">
        <v>45730</v>
      </c>
      <c r="B206" t="s">
        <v>11</v>
      </c>
      <c r="C206" t="s">
        <v>45</v>
      </c>
      <c r="D206" t="s">
        <v>52</v>
      </c>
      <c r="E206" t="s">
        <v>27</v>
      </c>
      <c r="F206">
        <v>136</v>
      </c>
      <c r="G206">
        <v>45.19</v>
      </c>
      <c r="H206">
        <v>6145.84</v>
      </c>
      <c r="I206" t="s">
        <v>37</v>
      </c>
      <c r="J206" t="s">
        <v>16</v>
      </c>
      <c r="K206" t="s">
        <v>148</v>
      </c>
    </row>
    <row r="207" spans="1:11" x14ac:dyDescent="0.3">
      <c r="A207" s="9">
        <v>45730</v>
      </c>
      <c r="B207" t="s">
        <v>25</v>
      </c>
      <c r="C207" t="s">
        <v>45</v>
      </c>
      <c r="D207" t="s">
        <v>60</v>
      </c>
      <c r="E207" t="s">
        <v>44</v>
      </c>
      <c r="F207">
        <v>195</v>
      </c>
      <c r="G207">
        <v>114.51</v>
      </c>
      <c r="H207">
        <v>22329.45</v>
      </c>
      <c r="I207" t="s">
        <v>37</v>
      </c>
      <c r="J207" t="s">
        <v>16</v>
      </c>
    </row>
    <row r="208" spans="1:11" x14ac:dyDescent="0.3">
      <c r="A208" s="9">
        <v>45730</v>
      </c>
      <c r="B208" t="s">
        <v>34</v>
      </c>
      <c r="C208" t="s">
        <v>45</v>
      </c>
      <c r="D208" t="s">
        <v>49</v>
      </c>
      <c r="E208" t="s">
        <v>50</v>
      </c>
      <c r="F208">
        <v>77</v>
      </c>
      <c r="G208">
        <v>19.79</v>
      </c>
      <c r="H208">
        <v>1523.83</v>
      </c>
      <c r="I208" t="s">
        <v>15</v>
      </c>
      <c r="J208" t="s">
        <v>29</v>
      </c>
      <c r="K208" t="s">
        <v>146</v>
      </c>
    </row>
    <row r="209" spans="1:11" x14ac:dyDescent="0.3">
      <c r="A209" s="9">
        <v>45731</v>
      </c>
      <c r="B209" t="s">
        <v>25</v>
      </c>
      <c r="C209" t="s">
        <v>30</v>
      </c>
      <c r="D209" t="s">
        <v>26</v>
      </c>
      <c r="E209" t="s">
        <v>27</v>
      </c>
      <c r="F209">
        <v>98</v>
      </c>
      <c r="G209">
        <v>53.23</v>
      </c>
      <c r="H209">
        <v>5216.54</v>
      </c>
      <c r="I209" t="s">
        <v>28</v>
      </c>
      <c r="J209" t="s">
        <v>29</v>
      </c>
      <c r="K209" t="s">
        <v>149</v>
      </c>
    </row>
    <row r="210" spans="1:11" x14ac:dyDescent="0.3">
      <c r="A210" s="9">
        <v>45731</v>
      </c>
      <c r="B210" t="s">
        <v>53</v>
      </c>
      <c r="C210" t="s">
        <v>30</v>
      </c>
      <c r="D210" t="s">
        <v>21</v>
      </c>
      <c r="E210" t="s">
        <v>22</v>
      </c>
      <c r="F210">
        <v>162</v>
      </c>
      <c r="G210">
        <v>9.94</v>
      </c>
      <c r="H210">
        <v>1610.28</v>
      </c>
      <c r="I210" t="s">
        <v>150</v>
      </c>
      <c r="J210" t="s">
        <v>16</v>
      </c>
    </row>
    <row r="211" spans="1:11" x14ac:dyDescent="0.3">
      <c r="A211" s="9">
        <v>45731</v>
      </c>
      <c r="B211" t="s">
        <v>53</v>
      </c>
      <c r="C211" t="s">
        <v>12</v>
      </c>
      <c r="D211" t="s">
        <v>52</v>
      </c>
      <c r="E211" t="s">
        <v>27</v>
      </c>
      <c r="F211">
        <v>125</v>
      </c>
      <c r="G211">
        <v>46.31</v>
      </c>
      <c r="H211">
        <v>5788.75</v>
      </c>
      <c r="I211" t="s">
        <v>150</v>
      </c>
      <c r="J211" t="s">
        <v>16</v>
      </c>
      <c r="K211" t="s">
        <v>151</v>
      </c>
    </row>
    <row r="212" spans="1:11" x14ac:dyDescent="0.3">
      <c r="A212" s="9">
        <v>45731</v>
      </c>
      <c r="B212" t="s">
        <v>11</v>
      </c>
      <c r="C212" t="s">
        <v>45</v>
      </c>
      <c r="D212" t="s">
        <v>60</v>
      </c>
      <c r="E212" t="s">
        <v>44</v>
      </c>
      <c r="F212">
        <v>186</v>
      </c>
      <c r="G212">
        <v>128.58000000000001</v>
      </c>
      <c r="H212">
        <v>23915.88</v>
      </c>
      <c r="I212" t="s">
        <v>147</v>
      </c>
      <c r="J212" t="s">
        <v>29</v>
      </c>
    </row>
    <row r="213" spans="1:11" x14ac:dyDescent="0.3">
      <c r="A213" s="9">
        <v>45732</v>
      </c>
      <c r="B213" t="s">
        <v>18</v>
      </c>
      <c r="C213" t="s">
        <v>12</v>
      </c>
      <c r="D213" t="s">
        <v>59</v>
      </c>
      <c r="E213" t="s">
        <v>50</v>
      </c>
      <c r="F213">
        <v>31</v>
      </c>
      <c r="G213">
        <v>30.29</v>
      </c>
      <c r="H213">
        <v>938.99</v>
      </c>
      <c r="I213" t="s">
        <v>150</v>
      </c>
      <c r="J213" t="s">
        <v>47</v>
      </c>
    </row>
    <row r="214" spans="1:11" x14ac:dyDescent="0.3">
      <c r="A214" s="9">
        <v>45732</v>
      </c>
      <c r="B214" t="s">
        <v>53</v>
      </c>
      <c r="C214" t="s">
        <v>12</v>
      </c>
      <c r="D214" t="s">
        <v>58</v>
      </c>
      <c r="E214" t="s">
        <v>22</v>
      </c>
      <c r="F214">
        <v>137</v>
      </c>
      <c r="G214">
        <v>24.21</v>
      </c>
      <c r="H214">
        <v>3316.77</v>
      </c>
      <c r="I214" t="s">
        <v>147</v>
      </c>
      <c r="J214" t="s">
        <v>29</v>
      </c>
      <c r="K214" t="s">
        <v>146</v>
      </c>
    </row>
    <row r="215" spans="1:11" x14ac:dyDescent="0.3">
      <c r="A215" s="9">
        <v>45733</v>
      </c>
      <c r="B215" t="s">
        <v>36</v>
      </c>
      <c r="C215" t="s">
        <v>30</v>
      </c>
      <c r="D215" t="s">
        <v>59</v>
      </c>
      <c r="E215" t="s">
        <v>50</v>
      </c>
      <c r="F215">
        <v>141</v>
      </c>
      <c r="G215">
        <v>31.81</v>
      </c>
      <c r="H215">
        <v>4485.21</v>
      </c>
      <c r="I215" t="s">
        <v>150</v>
      </c>
      <c r="J215" t="s">
        <v>29</v>
      </c>
    </row>
    <row r="216" spans="1:11" x14ac:dyDescent="0.3">
      <c r="A216" s="9">
        <v>45734</v>
      </c>
      <c r="B216" t="s">
        <v>11</v>
      </c>
      <c r="C216" t="s">
        <v>30</v>
      </c>
      <c r="D216" t="s">
        <v>48</v>
      </c>
      <c r="E216" t="s">
        <v>14</v>
      </c>
      <c r="F216">
        <v>94</v>
      </c>
      <c r="G216">
        <v>91.53</v>
      </c>
      <c r="H216">
        <v>8603.82</v>
      </c>
      <c r="I216" t="s">
        <v>15</v>
      </c>
      <c r="J216" t="s">
        <v>16</v>
      </c>
    </row>
    <row r="217" spans="1:11" x14ac:dyDescent="0.3">
      <c r="A217" s="9">
        <v>45734</v>
      </c>
      <c r="B217" t="s">
        <v>11</v>
      </c>
      <c r="C217" t="s">
        <v>45</v>
      </c>
      <c r="D217" t="s">
        <v>13</v>
      </c>
      <c r="E217" t="s">
        <v>14</v>
      </c>
      <c r="F217">
        <v>146</v>
      </c>
      <c r="G217">
        <v>43.05</v>
      </c>
      <c r="H217">
        <v>6285.2999999999993</v>
      </c>
      <c r="I217" t="s">
        <v>15</v>
      </c>
      <c r="J217" t="s">
        <v>16</v>
      </c>
    </row>
    <row r="218" spans="1:11" x14ac:dyDescent="0.3">
      <c r="A218" s="9">
        <v>45734</v>
      </c>
      <c r="B218" t="s">
        <v>25</v>
      </c>
      <c r="C218" t="s">
        <v>45</v>
      </c>
      <c r="D218" t="s">
        <v>35</v>
      </c>
      <c r="E218" t="s">
        <v>32</v>
      </c>
      <c r="F218">
        <v>155</v>
      </c>
      <c r="G218">
        <v>13.75</v>
      </c>
      <c r="H218">
        <v>2131.25</v>
      </c>
      <c r="I218" t="s">
        <v>147</v>
      </c>
      <c r="J218" t="s">
        <v>16</v>
      </c>
    </row>
    <row r="219" spans="1:11" x14ac:dyDescent="0.3">
      <c r="A219" s="9">
        <v>45734</v>
      </c>
      <c r="B219" t="s">
        <v>20</v>
      </c>
      <c r="C219" t="s">
        <v>30</v>
      </c>
      <c r="D219" t="s">
        <v>60</v>
      </c>
      <c r="E219" t="s">
        <v>44</v>
      </c>
      <c r="F219">
        <v>110</v>
      </c>
      <c r="G219">
        <v>126.53</v>
      </c>
      <c r="H219">
        <v>13918.3</v>
      </c>
      <c r="I219" t="s">
        <v>37</v>
      </c>
      <c r="J219" t="s">
        <v>29</v>
      </c>
      <c r="K219" t="s">
        <v>146</v>
      </c>
    </row>
    <row r="220" spans="1:11" x14ac:dyDescent="0.3">
      <c r="A220" s="9">
        <v>45735</v>
      </c>
      <c r="B220" t="s">
        <v>11</v>
      </c>
      <c r="C220" t="s">
        <v>30</v>
      </c>
      <c r="D220" t="s">
        <v>60</v>
      </c>
      <c r="E220" t="s">
        <v>44</v>
      </c>
      <c r="F220">
        <v>132</v>
      </c>
      <c r="G220">
        <v>118.58</v>
      </c>
      <c r="H220">
        <v>15652.56</v>
      </c>
      <c r="I220" t="s">
        <v>15</v>
      </c>
      <c r="J220" t="s">
        <v>29</v>
      </c>
    </row>
    <row r="221" spans="1:11" x14ac:dyDescent="0.3">
      <c r="A221" s="9">
        <v>45735</v>
      </c>
      <c r="B221" t="s">
        <v>25</v>
      </c>
      <c r="C221" t="s">
        <v>45</v>
      </c>
      <c r="D221" t="s">
        <v>35</v>
      </c>
      <c r="E221" t="s">
        <v>32</v>
      </c>
      <c r="F221">
        <v>115</v>
      </c>
      <c r="G221">
        <v>13.02</v>
      </c>
      <c r="H221">
        <v>1497.3</v>
      </c>
      <c r="I221" t="s">
        <v>15</v>
      </c>
      <c r="J221" t="s">
        <v>16</v>
      </c>
      <c r="K221" t="s">
        <v>146</v>
      </c>
    </row>
    <row r="222" spans="1:11" x14ac:dyDescent="0.3">
      <c r="A222" s="9">
        <v>45735</v>
      </c>
      <c r="B222" t="s">
        <v>34</v>
      </c>
      <c r="C222" t="s">
        <v>12</v>
      </c>
      <c r="D222" t="s">
        <v>43</v>
      </c>
      <c r="E222" t="s">
        <v>44</v>
      </c>
      <c r="F222">
        <v>26</v>
      </c>
      <c r="G222">
        <v>125.34</v>
      </c>
      <c r="H222">
        <v>3258.84</v>
      </c>
      <c r="I222" t="s">
        <v>147</v>
      </c>
      <c r="J222" t="s">
        <v>16</v>
      </c>
      <c r="K222" t="s">
        <v>146</v>
      </c>
    </row>
    <row r="223" spans="1:11" x14ac:dyDescent="0.3">
      <c r="A223" s="9">
        <v>45735</v>
      </c>
      <c r="B223" t="s">
        <v>36</v>
      </c>
      <c r="C223" t="s">
        <v>38</v>
      </c>
      <c r="D223" t="s">
        <v>43</v>
      </c>
      <c r="E223" t="s">
        <v>44</v>
      </c>
      <c r="F223">
        <v>197</v>
      </c>
      <c r="G223">
        <v>136.07</v>
      </c>
      <c r="H223">
        <v>26805.789999999997</v>
      </c>
      <c r="I223" t="s">
        <v>37</v>
      </c>
      <c r="J223" t="s">
        <v>16</v>
      </c>
      <c r="K223" t="s">
        <v>151</v>
      </c>
    </row>
    <row r="224" spans="1:11" x14ac:dyDescent="0.3">
      <c r="A224" s="9">
        <v>45735</v>
      </c>
      <c r="B224" t="s">
        <v>56</v>
      </c>
      <c r="C224" t="s">
        <v>30</v>
      </c>
      <c r="D224" t="s">
        <v>59</v>
      </c>
      <c r="E224" t="s">
        <v>50</v>
      </c>
      <c r="F224">
        <v>41</v>
      </c>
      <c r="G224">
        <v>28.59</v>
      </c>
      <c r="H224">
        <v>1172.19</v>
      </c>
      <c r="I224" t="s">
        <v>147</v>
      </c>
      <c r="J224" t="s">
        <v>16</v>
      </c>
      <c r="K224" t="s">
        <v>148</v>
      </c>
    </row>
    <row r="225" spans="1:11" x14ac:dyDescent="0.3">
      <c r="A225" s="9">
        <v>45736</v>
      </c>
      <c r="B225" t="s">
        <v>25</v>
      </c>
      <c r="C225" t="s">
        <v>30</v>
      </c>
      <c r="D225" t="s">
        <v>49</v>
      </c>
      <c r="E225" t="s">
        <v>50</v>
      </c>
      <c r="F225">
        <v>21</v>
      </c>
      <c r="G225">
        <v>19.329999999999998</v>
      </c>
      <c r="H225">
        <v>405.92999999999995</v>
      </c>
      <c r="I225" t="s">
        <v>150</v>
      </c>
      <c r="J225" t="s">
        <v>16</v>
      </c>
    </row>
    <row r="226" spans="1:11" x14ac:dyDescent="0.3">
      <c r="A226" s="9">
        <v>45736</v>
      </c>
      <c r="B226" t="s">
        <v>53</v>
      </c>
      <c r="C226" t="s">
        <v>19</v>
      </c>
      <c r="D226" t="s">
        <v>43</v>
      </c>
      <c r="E226" t="s">
        <v>44</v>
      </c>
      <c r="F226">
        <v>15</v>
      </c>
      <c r="G226">
        <v>120.38</v>
      </c>
      <c r="H226">
        <v>1805.6999999999998</v>
      </c>
      <c r="I226" t="s">
        <v>147</v>
      </c>
      <c r="J226" t="s">
        <v>47</v>
      </c>
      <c r="K226" t="s">
        <v>146</v>
      </c>
    </row>
    <row r="227" spans="1:11" x14ac:dyDescent="0.3">
      <c r="A227" s="9">
        <v>45737</v>
      </c>
      <c r="B227" t="s">
        <v>53</v>
      </c>
      <c r="C227" t="s">
        <v>45</v>
      </c>
      <c r="D227" t="s">
        <v>60</v>
      </c>
      <c r="E227" t="s">
        <v>44</v>
      </c>
      <c r="F227">
        <v>89</v>
      </c>
      <c r="G227">
        <v>127.83</v>
      </c>
      <c r="H227">
        <v>11376.869999999999</v>
      </c>
      <c r="I227" t="s">
        <v>15</v>
      </c>
      <c r="J227" t="s">
        <v>16</v>
      </c>
    </row>
    <row r="228" spans="1:11" x14ac:dyDescent="0.3">
      <c r="A228" s="9">
        <v>45737</v>
      </c>
      <c r="B228" t="s">
        <v>18</v>
      </c>
      <c r="C228" t="s">
        <v>12</v>
      </c>
      <c r="D228" t="s">
        <v>59</v>
      </c>
      <c r="E228" t="s">
        <v>50</v>
      </c>
      <c r="F228">
        <v>38</v>
      </c>
      <c r="G228">
        <v>29.95</v>
      </c>
      <c r="H228">
        <v>1138.0999999999999</v>
      </c>
      <c r="I228" t="s">
        <v>15</v>
      </c>
      <c r="J228" t="s">
        <v>29</v>
      </c>
      <c r="K228" t="s">
        <v>152</v>
      </c>
    </row>
    <row r="229" spans="1:11" x14ac:dyDescent="0.3">
      <c r="A229" s="9">
        <v>45738</v>
      </c>
      <c r="B229" t="s">
        <v>56</v>
      </c>
      <c r="C229" t="s">
        <v>30</v>
      </c>
      <c r="D229" t="s">
        <v>21</v>
      </c>
      <c r="E229" t="s">
        <v>22</v>
      </c>
      <c r="F229">
        <v>132</v>
      </c>
      <c r="G229">
        <v>10.56</v>
      </c>
      <c r="H229">
        <v>1393.92</v>
      </c>
      <c r="I229" t="s">
        <v>37</v>
      </c>
      <c r="J229" t="s">
        <v>16</v>
      </c>
    </row>
    <row r="230" spans="1:11" x14ac:dyDescent="0.3">
      <c r="A230" s="9">
        <v>45738</v>
      </c>
      <c r="B230" t="s">
        <v>53</v>
      </c>
      <c r="C230" t="s">
        <v>19</v>
      </c>
      <c r="D230" t="s">
        <v>52</v>
      </c>
      <c r="E230" t="s">
        <v>27</v>
      </c>
      <c r="F230">
        <v>89</v>
      </c>
      <c r="G230">
        <v>46.67</v>
      </c>
      <c r="H230">
        <v>4153.63</v>
      </c>
      <c r="I230" t="s">
        <v>147</v>
      </c>
      <c r="J230" t="s">
        <v>16</v>
      </c>
    </row>
    <row r="231" spans="1:11" x14ac:dyDescent="0.3">
      <c r="A231" s="9">
        <v>45738</v>
      </c>
      <c r="B231" t="s">
        <v>53</v>
      </c>
      <c r="C231" t="s">
        <v>45</v>
      </c>
      <c r="D231" t="s">
        <v>59</v>
      </c>
      <c r="E231" t="s">
        <v>50</v>
      </c>
      <c r="F231">
        <v>186</v>
      </c>
      <c r="G231">
        <v>28.64</v>
      </c>
      <c r="H231">
        <v>5327.04</v>
      </c>
      <c r="I231" t="s">
        <v>150</v>
      </c>
      <c r="J231" t="s">
        <v>47</v>
      </c>
    </row>
    <row r="232" spans="1:11" x14ac:dyDescent="0.3">
      <c r="A232" s="9">
        <v>45738</v>
      </c>
      <c r="B232" t="s">
        <v>18</v>
      </c>
      <c r="C232" t="s">
        <v>30</v>
      </c>
      <c r="D232" t="s">
        <v>21</v>
      </c>
      <c r="E232" t="s">
        <v>22</v>
      </c>
      <c r="F232">
        <v>66</v>
      </c>
      <c r="G232">
        <v>9.23</v>
      </c>
      <c r="H232">
        <v>609.18000000000006</v>
      </c>
      <c r="I232" t="s">
        <v>28</v>
      </c>
      <c r="J232" t="s">
        <v>29</v>
      </c>
    </row>
    <row r="233" spans="1:11" x14ac:dyDescent="0.3">
      <c r="A233" s="9">
        <v>45739</v>
      </c>
      <c r="B233" t="s">
        <v>36</v>
      </c>
      <c r="C233" t="s">
        <v>12</v>
      </c>
      <c r="D233" t="s">
        <v>43</v>
      </c>
      <c r="E233" t="s">
        <v>44</v>
      </c>
      <c r="F233">
        <v>104</v>
      </c>
      <c r="G233">
        <v>121.81</v>
      </c>
      <c r="H233">
        <v>12668.24</v>
      </c>
      <c r="I233" t="s">
        <v>28</v>
      </c>
      <c r="J233" t="s">
        <v>29</v>
      </c>
      <c r="K233" t="s">
        <v>148</v>
      </c>
    </row>
    <row r="234" spans="1:11" x14ac:dyDescent="0.3">
      <c r="A234" s="9">
        <v>45739</v>
      </c>
      <c r="B234" t="s">
        <v>20</v>
      </c>
      <c r="C234" t="s">
        <v>38</v>
      </c>
      <c r="D234" t="s">
        <v>52</v>
      </c>
      <c r="E234" t="s">
        <v>27</v>
      </c>
      <c r="F234">
        <v>27</v>
      </c>
      <c r="G234">
        <v>45.38</v>
      </c>
      <c r="H234">
        <v>1225.26</v>
      </c>
      <c r="I234" t="s">
        <v>150</v>
      </c>
      <c r="J234" t="s">
        <v>16</v>
      </c>
      <c r="K234" t="s">
        <v>151</v>
      </c>
    </row>
    <row r="235" spans="1:11" x14ac:dyDescent="0.3">
      <c r="A235" s="9">
        <v>45740</v>
      </c>
      <c r="B235" t="s">
        <v>53</v>
      </c>
      <c r="C235" t="s">
        <v>38</v>
      </c>
      <c r="D235" t="s">
        <v>48</v>
      </c>
      <c r="E235" t="s">
        <v>14</v>
      </c>
      <c r="F235">
        <v>115</v>
      </c>
      <c r="G235">
        <v>82.12</v>
      </c>
      <c r="H235">
        <v>9443.8000000000011</v>
      </c>
      <c r="I235" t="s">
        <v>150</v>
      </c>
      <c r="J235" t="s">
        <v>47</v>
      </c>
      <c r="K235" t="s">
        <v>148</v>
      </c>
    </row>
    <row r="236" spans="1:11" x14ac:dyDescent="0.3">
      <c r="A236" s="9">
        <v>45740</v>
      </c>
      <c r="B236" t="s">
        <v>20</v>
      </c>
      <c r="C236" t="s">
        <v>12</v>
      </c>
      <c r="D236" t="s">
        <v>48</v>
      </c>
      <c r="E236" t="s">
        <v>14</v>
      </c>
      <c r="F236">
        <v>55</v>
      </c>
      <c r="G236">
        <v>91.37</v>
      </c>
      <c r="H236">
        <v>5025.3500000000004</v>
      </c>
      <c r="I236" t="s">
        <v>28</v>
      </c>
      <c r="J236" t="s">
        <v>29</v>
      </c>
      <c r="K236" t="s">
        <v>151</v>
      </c>
    </row>
    <row r="237" spans="1:11" x14ac:dyDescent="0.3">
      <c r="A237" s="9">
        <v>45741</v>
      </c>
      <c r="B237" t="s">
        <v>56</v>
      </c>
      <c r="C237" t="s">
        <v>30</v>
      </c>
      <c r="D237" t="s">
        <v>39</v>
      </c>
      <c r="E237" t="s">
        <v>40</v>
      </c>
      <c r="F237">
        <v>127</v>
      </c>
      <c r="G237">
        <v>56.74</v>
      </c>
      <c r="H237">
        <v>7205.9800000000005</v>
      </c>
      <c r="I237" t="s">
        <v>28</v>
      </c>
      <c r="J237" t="s">
        <v>29</v>
      </c>
    </row>
    <row r="238" spans="1:11" x14ac:dyDescent="0.3">
      <c r="A238" s="9">
        <v>45741</v>
      </c>
      <c r="B238" t="s">
        <v>56</v>
      </c>
      <c r="C238" t="s">
        <v>45</v>
      </c>
      <c r="D238" t="s">
        <v>58</v>
      </c>
      <c r="E238" t="s">
        <v>22</v>
      </c>
      <c r="F238">
        <v>59</v>
      </c>
      <c r="G238">
        <v>23.89</v>
      </c>
      <c r="H238">
        <v>1409.51</v>
      </c>
      <c r="I238" t="s">
        <v>147</v>
      </c>
      <c r="J238" t="s">
        <v>16</v>
      </c>
    </row>
    <row r="239" spans="1:11" x14ac:dyDescent="0.3">
      <c r="A239" s="9">
        <v>45742</v>
      </c>
      <c r="B239" t="s">
        <v>18</v>
      </c>
      <c r="C239" t="s">
        <v>45</v>
      </c>
      <c r="D239" t="s">
        <v>35</v>
      </c>
      <c r="E239" t="s">
        <v>32</v>
      </c>
      <c r="F239">
        <v>188</v>
      </c>
      <c r="G239">
        <v>13.01</v>
      </c>
      <c r="H239">
        <v>2445.88</v>
      </c>
      <c r="I239" t="s">
        <v>28</v>
      </c>
      <c r="J239" t="s">
        <v>47</v>
      </c>
      <c r="K239" t="s">
        <v>148</v>
      </c>
    </row>
    <row r="240" spans="1:11" x14ac:dyDescent="0.3">
      <c r="A240" s="9">
        <v>45743</v>
      </c>
      <c r="B240" t="s">
        <v>20</v>
      </c>
      <c r="C240" t="s">
        <v>38</v>
      </c>
      <c r="D240" t="s">
        <v>59</v>
      </c>
      <c r="E240" t="s">
        <v>50</v>
      </c>
      <c r="F240">
        <v>154</v>
      </c>
      <c r="G240">
        <v>31.58</v>
      </c>
      <c r="H240">
        <v>4863.32</v>
      </c>
      <c r="I240" t="s">
        <v>150</v>
      </c>
      <c r="J240" t="s">
        <v>16</v>
      </c>
    </row>
    <row r="241" spans="1:11" x14ac:dyDescent="0.3">
      <c r="A241" s="9">
        <v>45743</v>
      </c>
      <c r="B241" t="s">
        <v>36</v>
      </c>
      <c r="C241" t="s">
        <v>45</v>
      </c>
      <c r="D241" t="s">
        <v>59</v>
      </c>
      <c r="E241" t="s">
        <v>50</v>
      </c>
      <c r="F241">
        <v>173</v>
      </c>
      <c r="G241">
        <v>30.67</v>
      </c>
      <c r="H241">
        <v>5305.91</v>
      </c>
      <c r="I241" t="s">
        <v>15</v>
      </c>
      <c r="J241" t="s">
        <v>16</v>
      </c>
      <c r="K241" t="s">
        <v>151</v>
      </c>
    </row>
    <row r="242" spans="1:11" x14ac:dyDescent="0.3">
      <c r="A242" s="9">
        <v>45745</v>
      </c>
      <c r="B242" t="s">
        <v>53</v>
      </c>
      <c r="C242" t="s">
        <v>38</v>
      </c>
      <c r="D242" t="s">
        <v>39</v>
      </c>
      <c r="E242" t="s">
        <v>40</v>
      </c>
      <c r="F242">
        <v>72</v>
      </c>
      <c r="G242">
        <v>55.46</v>
      </c>
      <c r="H242">
        <v>3993.12</v>
      </c>
      <c r="I242" t="s">
        <v>37</v>
      </c>
      <c r="J242" t="s">
        <v>29</v>
      </c>
    </row>
    <row r="243" spans="1:11" x14ac:dyDescent="0.3">
      <c r="A243" s="9">
        <v>45746</v>
      </c>
      <c r="B243" t="s">
        <v>18</v>
      </c>
      <c r="C243" t="s">
        <v>45</v>
      </c>
      <c r="D243" t="s">
        <v>48</v>
      </c>
      <c r="E243" t="s">
        <v>14</v>
      </c>
      <c r="F243">
        <v>188</v>
      </c>
      <c r="G243">
        <v>80.23</v>
      </c>
      <c r="H243">
        <v>15083.240000000002</v>
      </c>
      <c r="I243" t="s">
        <v>28</v>
      </c>
      <c r="J243" t="s">
        <v>29</v>
      </c>
    </row>
    <row r="244" spans="1:11" x14ac:dyDescent="0.3">
      <c r="A244" s="9">
        <v>45746</v>
      </c>
      <c r="B244" t="s">
        <v>56</v>
      </c>
      <c r="C244" t="s">
        <v>30</v>
      </c>
      <c r="D244" t="s">
        <v>13</v>
      </c>
      <c r="E244" t="s">
        <v>14</v>
      </c>
      <c r="F244">
        <v>69</v>
      </c>
      <c r="G244">
        <v>43.85</v>
      </c>
      <c r="H244">
        <v>3025.65</v>
      </c>
      <c r="I244" t="s">
        <v>28</v>
      </c>
      <c r="J244" t="s">
        <v>29</v>
      </c>
      <c r="K244" t="s">
        <v>148</v>
      </c>
    </row>
    <row r="245" spans="1:11" x14ac:dyDescent="0.3">
      <c r="A245" s="9">
        <v>45746</v>
      </c>
      <c r="B245" t="s">
        <v>11</v>
      </c>
      <c r="C245" t="s">
        <v>45</v>
      </c>
      <c r="D245" t="s">
        <v>35</v>
      </c>
      <c r="E245" t="s">
        <v>32</v>
      </c>
      <c r="F245">
        <v>32</v>
      </c>
      <c r="G245">
        <v>13.7</v>
      </c>
      <c r="H245">
        <v>438.4</v>
      </c>
      <c r="I245" t="s">
        <v>150</v>
      </c>
      <c r="J245" t="s">
        <v>16</v>
      </c>
    </row>
    <row r="246" spans="1:11" x14ac:dyDescent="0.3">
      <c r="A246" s="9">
        <v>45746</v>
      </c>
      <c r="B246" t="s">
        <v>36</v>
      </c>
      <c r="C246" t="s">
        <v>19</v>
      </c>
      <c r="D246" t="s">
        <v>58</v>
      </c>
      <c r="E246" t="s">
        <v>22</v>
      </c>
      <c r="F246">
        <v>87</v>
      </c>
      <c r="G246">
        <v>26.91</v>
      </c>
      <c r="H246">
        <v>2341.17</v>
      </c>
      <c r="I246" t="s">
        <v>147</v>
      </c>
      <c r="J246" t="s">
        <v>16</v>
      </c>
    </row>
    <row r="247" spans="1:11" x14ac:dyDescent="0.3">
      <c r="A247" s="9">
        <v>45747</v>
      </c>
      <c r="B247" t="s">
        <v>36</v>
      </c>
      <c r="C247" t="s">
        <v>19</v>
      </c>
      <c r="D247" t="s">
        <v>35</v>
      </c>
      <c r="E247" t="s">
        <v>32</v>
      </c>
      <c r="F247">
        <v>165</v>
      </c>
      <c r="G247">
        <v>13.9</v>
      </c>
      <c r="H247">
        <v>2293.5</v>
      </c>
      <c r="I247" t="s">
        <v>147</v>
      </c>
      <c r="J247" t="s">
        <v>16</v>
      </c>
    </row>
    <row r="248" spans="1:11" x14ac:dyDescent="0.3">
      <c r="A248" s="9">
        <v>45747</v>
      </c>
      <c r="B248" t="s">
        <v>18</v>
      </c>
      <c r="C248" t="s">
        <v>30</v>
      </c>
      <c r="D248" t="s">
        <v>52</v>
      </c>
      <c r="E248" t="s">
        <v>27</v>
      </c>
      <c r="F248">
        <v>70</v>
      </c>
      <c r="G248">
        <v>51.74</v>
      </c>
      <c r="H248">
        <v>3621.8</v>
      </c>
      <c r="I248" t="s">
        <v>150</v>
      </c>
      <c r="J248" t="s">
        <v>47</v>
      </c>
    </row>
    <row r="249" spans="1:11" x14ac:dyDescent="0.3">
      <c r="A249" s="9">
        <v>45747</v>
      </c>
      <c r="B249" t="s">
        <v>36</v>
      </c>
      <c r="C249" t="s">
        <v>38</v>
      </c>
      <c r="D249" t="s">
        <v>49</v>
      </c>
      <c r="E249" t="s">
        <v>50</v>
      </c>
      <c r="F249">
        <v>138</v>
      </c>
      <c r="G249">
        <v>20.36</v>
      </c>
      <c r="H249">
        <v>2809.68</v>
      </c>
      <c r="I249" t="s">
        <v>37</v>
      </c>
      <c r="J249" t="s">
        <v>47</v>
      </c>
    </row>
    <row r="250" spans="1:11" x14ac:dyDescent="0.3">
      <c r="A250" s="9">
        <v>45748</v>
      </c>
      <c r="B250" t="s">
        <v>18</v>
      </c>
      <c r="C250" t="s">
        <v>30</v>
      </c>
      <c r="D250" t="s">
        <v>31</v>
      </c>
      <c r="E250" t="s">
        <v>32</v>
      </c>
      <c r="F250">
        <v>163</v>
      </c>
      <c r="G250">
        <v>11.24</v>
      </c>
      <c r="H250">
        <v>1832.1200000000001</v>
      </c>
      <c r="I250" t="s">
        <v>150</v>
      </c>
      <c r="J250" t="s">
        <v>29</v>
      </c>
      <c r="K250" t="s">
        <v>152</v>
      </c>
    </row>
    <row r="251" spans="1:11" x14ac:dyDescent="0.3">
      <c r="A251" s="9">
        <v>45748</v>
      </c>
      <c r="B251" t="s">
        <v>18</v>
      </c>
      <c r="C251" t="s">
        <v>19</v>
      </c>
      <c r="D251" t="s">
        <v>58</v>
      </c>
      <c r="E251" t="s">
        <v>22</v>
      </c>
      <c r="F251">
        <v>24</v>
      </c>
      <c r="G251">
        <v>25.55</v>
      </c>
      <c r="H251">
        <v>613.20000000000005</v>
      </c>
      <c r="I251" t="s">
        <v>15</v>
      </c>
      <c r="J251" t="s">
        <v>16</v>
      </c>
      <c r="K251" t="s">
        <v>146</v>
      </c>
    </row>
    <row r="252" spans="1:11" x14ac:dyDescent="0.3">
      <c r="A252" s="9">
        <v>45748</v>
      </c>
      <c r="B252" t="s">
        <v>11</v>
      </c>
      <c r="C252" t="s">
        <v>45</v>
      </c>
      <c r="D252" t="s">
        <v>43</v>
      </c>
      <c r="E252" t="s">
        <v>44</v>
      </c>
      <c r="F252">
        <v>182</v>
      </c>
      <c r="G252">
        <v>125.79</v>
      </c>
      <c r="H252">
        <v>22893.780000000002</v>
      </c>
      <c r="I252" t="s">
        <v>37</v>
      </c>
      <c r="J252" t="s">
        <v>16</v>
      </c>
    </row>
    <row r="253" spans="1:11" x14ac:dyDescent="0.3">
      <c r="A253" s="9">
        <v>45748</v>
      </c>
      <c r="B253" t="s">
        <v>56</v>
      </c>
      <c r="C253" t="s">
        <v>19</v>
      </c>
      <c r="D253" t="s">
        <v>35</v>
      </c>
      <c r="E253" t="s">
        <v>32</v>
      </c>
      <c r="F253">
        <v>83</v>
      </c>
      <c r="G253">
        <v>14.39</v>
      </c>
      <c r="H253">
        <v>1194.3700000000001</v>
      </c>
      <c r="I253" t="s">
        <v>37</v>
      </c>
      <c r="J253" t="s">
        <v>16</v>
      </c>
      <c r="K253" t="s">
        <v>148</v>
      </c>
    </row>
    <row r="254" spans="1:11" x14ac:dyDescent="0.3">
      <c r="A254" s="9">
        <v>45748</v>
      </c>
      <c r="B254" t="s">
        <v>18</v>
      </c>
      <c r="C254" t="s">
        <v>12</v>
      </c>
      <c r="D254" t="s">
        <v>35</v>
      </c>
      <c r="E254" t="s">
        <v>32</v>
      </c>
      <c r="F254">
        <v>141</v>
      </c>
      <c r="G254">
        <v>13.13</v>
      </c>
      <c r="H254">
        <v>1851.3300000000002</v>
      </c>
      <c r="I254" t="s">
        <v>150</v>
      </c>
      <c r="J254" t="s">
        <v>16</v>
      </c>
      <c r="K254" t="s">
        <v>151</v>
      </c>
    </row>
    <row r="255" spans="1:11" x14ac:dyDescent="0.3">
      <c r="A255" s="9">
        <v>45749</v>
      </c>
      <c r="B255" t="s">
        <v>53</v>
      </c>
      <c r="C255" t="s">
        <v>19</v>
      </c>
      <c r="D255" t="s">
        <v>35</v>
      </c>
      <c r="E255" t="s">
        <v>32</v>
      </c>
      <c r="F255">
        <v>197</v>
      </c>
      <c r="G255">
        <v>13.11</v>
      </c>
      <c r="H255">
        <v>2582.67</v>
      </c>
      <c r="I255" t="s">
        <v>28</v>
      </c>
      <c r="J255" t="s">
        <v>16</v>
      </c>
    </row>
    <row r="256" spans="1:11" x14ac:dyDescent="0.3">
      <c r="A256" s="9">
        <v>45749</v>
      </c>
      <c r="B256" t="s">
        <v>11</v>
      </c>
      <c r="C256" t="s">
        <v>45</v>
      </c>
      <c r="D256" t="s">
        <v>31</v>
      </c>
      <c r="E256" t="s">
        <v>32</v>
      </c>
      <c r="F256">
        <v>197</v>
      </c>
      <c r="G256">
        <v>12.6</v>
      </c>
      <c r="H256">
        <v>2482.1999999999998</v>
      </c>
      <c r="I256" t="s">
        <v>28</v>
      </c>
      <c r="J256" t="s">
        <v>29</v>
      </c>
      <c r="K256" t="s">
        <v>146</v>
      </c>
    </row>
    <row r="257" spans="1:11" x14ac:dyDescent="0.3">
      <c r="A257" s="9">
        <v>45749</v>
      </c>
      <c r="B257" t="s">
        <v>53</v>
      </c>
      <c r="C257" t="s">
        <v>19</v>
      </c>
      <c r="D257" t="s">
        <v>59</v>
      </c>
      <c r="E257" t="s">
        <v>50</v>
      </c>
      <c r="F257">
        <v>185</v>
      </c>
      <c r="G257">
        <v>28.02</v>
      </c>
      <c r="H257">
        <v>5183.7</v>
      </c>
      <c r="I257" t="s">
        <v>147</v>
      </c>
      <c r="J257" t="s">
        <v>29</v>
      </c>
    </row>
    <row r="258" spans="1:11" x14ac:dyDescent="0.3">
      <c r="A258" s="9">
        <v>45749</v>
      </c>
      <c r="B258" t="s">
        <v>11</v>
      </c>
      <c r="C258" t="s">
        <v>12</v>
      </c>
      <c r="D258" t="s">
        <v>54</v>
      </c>
      <c r="E258" t="s">
        <v>44</v>
      </c>
      <c r="F258">
        <v>52</v>
      </c>
      <c r="G258">
        <v>110.88</v>
      </c>
      <c r="H258">
        <v>5765.76</v>
      </c>
      <c r="I258" t="s">
        <v>150</v>
      </c>
      <c r="J258" t="s">
        <v>47</v>
      </c>
      <c r="K258" t="s">
        <v>151</v>
      </c>
    </row>
    <row r="259" spans="1:11" x14ac:dyDescent="0.3">
      <c r="A259" s="9">
        <v>45749</v>
      </c>
      <c r="B259" t="s">
        <v>11</v>
      </c>
      <c r="C259" t="s">
        <v>45</v>
      </c>
      <c r="D259" t="s">
        <v>13</v>
      </c>
      <c r="E259" t="s">
        <v>14</v>
      </c>
      <c r="F259">
        <v>134</v>
      </c>
      <c r="G259">
        <v>42.46</v>
      </c>
      <c r="H259">
        <v>5689.64</v>
      </c>
      <c r="I259" t="s">
        <v>15</v>
      </c>
      <c r="J259" t="s">
        <v>29</v>
      </c>
    </row>
    <row r="260" spans="1:11" x14ac:dyDescent="0.3">
      <c r="A260" s="9">
        <v>45750</v>
      </c>
      <c r="B260" t="s">
        <v>20</v>
      </c>
      <c r="C260" t="s">
        <v>19</v>
      </c>
      <c r="D260" t="s">
        <v>48</v>
      </c>
      <c r="E260" t="s">
        <v>14</v>
      </c>
      <c r="F260">
        <v>128</v>
      </c>
      <c r="G260">
        <v>86.84</v>
      </c>
      <c r="H260">
        <v>11115.52</v>
      </c>
      <c r="I260" t="s">
        <v>147</v>
      </c>
      <c r="J260" t="s">
        <v>67</v>
      </c>
      <c r="K260" t="s">
        <v>146</v>
      </c>
    </row>
    <row r="261" spans="1:11" x14ac:dyDescent="0.3">
      <c r="A261" s="9">
        <v>45750</v>
      </c>
      <c r="B261" t="s">
        <v>34</v>
      </c>
      <c r="C261" t="s">
        <v>38</v>
      </c>
      <c r="D261" t="s">
        <v>59</v>
      </c>
      <c r="E261" t="s">
        <v>50</v>
      </c>
      <c r="F261">
        <v>168</v>
      </c>
      <c r="G261">
        <v>32.380000000000003</v>
      </c>
      <c r="H261">
        <v>5439.84</v>
      </c>
      <c r="I261" t="s">
        <v>147</v>
      </c>
      <c r="J261" t="s">
        <v>16</v>
      </c>
    </row>
    <row r="262" spans="1:11" x14ac:dyDescent="0.3">
      <c r="A262" s="9">
        <v>45750</v>
      </c>
      <c r="B262" t="s">
        <v>18</v>
      </c>
      <c r="C262" t="s">
        <v>19</v>
      </c>
      <c r="D262" t="s">
        <v>59</v>
      </c>
      <c r="E262" t="s">
        <v>50</v>
      </c>
      <c r="F262">
        <v>191</v>
      </c>
      <c r="G262">
        <v>30.56</v>
      </c>
      <c r="H262">
        <v>5836.96</v>
      </c>
      <c r="I262" t="s">
        <v>15</v>
      </c>
      <c r="J262" t="s">
        <v>16</v>
      </c>
      <c r="K262" t="s">
        <v>152</v>
      </c>
    </row>
    <row r="263" spans="1:11" x14ac:dyDescent="0.3">
      <c r="A263" s="9">
        <v>45750</v>
      </c>
      <c r="B263" t="s">
        <v>56</v>
      </c>
      <c r="C263" t="s">
        <v>30</v>
      </c>
      <c r="D263" t="s">
        <v>59</v>
      </c>
      <c r="E263" t="s">
        <v>50</v>
      </c>
      <c r="F263">
        <v>86</v>
      </c>
      <c r="G263">
        <v>31.91</v>
      </c>
      <c r="H263">
        <v>2744.26</v>
      </c>
      <c r="I263" t="s">
        <v>150</v>
      </c>
      <c r="J263" t="s">
        <v>47</v>
      </c>
    </row>
    <row r="264" spans="1:11" x14ac:dyDescent="0.3">
      <c r="A264" s="9">
        <v>45751</v>
      </c>
      <c r="B264" t="s">
        <v>56</v>
      </c>
      <c r="C264" t="s">
        <v>12</v>
      </c>
      <c r="D264" t="s">
        <v>58</v>
      </c>
      <c r="E264" t="s">
        <v>22</v>
      </c>
      <c r="F264">
        <v>75</v>
      </c>
      <c r="G264">
        <v>25.49</v>
      </c>
      <c r="H264">
        <v>1911.7499999999998</v>
      </c>
      <c r="I264" t="s">
        <v>28</v>
      </c>
      <c r="J264" t="s">
        <v>16</v>
      </c>
    </row>
    <row r="265" spans="1:11" x14ac:dyDescent="0.3">
      <c r="A265" s="9">
        <v>45752</v>
      </c>
      <c r="B265" t="s">
        <v>11</v>
      </c>
      <c r="C265" t="s">
        <v>12</v>
      </c>
      <c r="D265" t="s">
        <v>59</v>
      </c>
      <c r="E265" t="s">
        <v>50</v>
      </c>
      <c r="F265">
        <v>82</v>
      </c>
      <c r="G265">
        <v>30.01</v>
      </c>
      <c r="H265">
        <v>2460.8200000000002</v>
      </c>
      <c r="I265" t="s">
        <v>15</v>
      </c>
      <c r="J265" t="s">
        <v>16</v>
      </c>
      <c r="K265" t="s">
        <v>148</v>
      </c>
    </row>
    <row r="266" spans="1:11" x14ac:dyDescent="0.3">
      <c r="A266" s="9">
        <v>45752</v>
      </c>
      <c r="B266" t="s">
        <v>20</v>
      </c>
      <c r="C266" t="s">
        <v>30</v>
      </c>
      <c r="D266" t="s">
        <v>58</v>
      </c>
      <c r="E266" t="s">
        <v>22</v>
      </c>
      <c r="F266">
        <v>62</v>
      </c>
      <c r="G266">
        <v>26.17</v>
      </c>
      <c r="H266">
        <v>1622.5400000000002</v>
      </c>
      <c r="I266" t="s">
        <v>147</v>
      </c>
      <c r="J266" t="s">
        <v>16</v>
      </c>
    </row>
    <row r="267" spans="1:11" x14ac:dyDescent="0.3">
      <c r="A267" s="9">
        <v>45753</v>
      </c>
      <c r="B267" t="s">
        <v>25</v>
      </c>
      <c r="C267" t="s">
        <v>45</v>
      </c>
      <c r="D267" t="s">
        <v>13</v>
      </c>
      <c r="E267" t="s">
        <v>14</v>
      </c>
      <c r="F267">
        <v>117</v>
      </c>
      <c r="G267">
        <v>45.54</v>
      </c>
      <c r="H267">
        <v>5328.18</v>
      </c>
      <c r="I267" t="s">
        <v>147</v>
      </c>
      <c r="J267" t="s">
        <v>47</v>
      </c>
    </row>
    <row r="268" spans="1:11" x14ac:dyDescent="0.3">
      <c r="A268" s="9">
        <v>45753</v>
      </c>
      <c r="B268" t="s">
        <v>56</v>
      </c>
      <c r="C268" t="s">
        <v>19</v>
      </c>
      <c r="D268" t="s">
        <v>49</v>
      </c>
      <c r="E268" t="s">
        <v>50</v>
      </c>
      <c r="F268">
        <v>87</v>
      </c>
      <c r="G268">
        <v>21.1</v>
      </c>
      <c r="H268">
        <v>1835.7</v>
      </c>
      <c r="I268" t="s">
        <v>150</v>
      </c>
      <c r="J268" t="s">
        <v>16</v>
      </c>
      <c r="K268" t="s">
        <v>146</v>
      </c>
    </row>
    <row r="269" spans="1:11" x14ac:dyDescent="0.3">
      <c r="A269" s="9">
        <v>45753</v>
      </c>
      <c r="B269" t="s">
        <v>20</v>
      </c>
      <c r="C269" t="s">
        <v>12</v>
      </c>
      <c r="D269" t="s">
        <v>52</v>
      </c>
      <c r="E269" t="s">
        <v>27</v>
      </c>
      <c r="F269">
        <v>121</v>
      </c>
      <c r="G269">
        <v>45.41</v>
      </c>
      <c r="H269">
        <v>5494.61</v>
      </c>
      <c r="I269" t="s">
        <v>147</v>
      </c>
      <c r="J269" t="s">
        <v>29</v>
      </c>
    </row>
    <row r="270" spans="1:11" x14ac:dyDescent="0.3">
      <c r="A270" s="9">
        <v>45754</v>
      </c>
      <c r="B270" t="s">
        <v>53</v>
      </c>
      <c r="C270" t="s">
        <v>45</v>
      </c>
      <c r="D270" t="s">
        <v>43</v>
      </c>
      <c r="E270" t="s">
        <v>44</v>
      </c>
      <c r="F270">
        <v>177</v>
      </c>
      <c r="G270">
        <v>122.07</v>
      </c>
      <c r="H270">
        <v>21606.39</v>
      </c>
      <c r="I270" t="s">
        <v>15</v>
      </c>
      <c r="J270" t="s">
        <v>16</v>
      </c>
    </row>
    <row r="271" spans="1:11" x14ac:dyDescent="0.3">
      <c r="A271" s="9">
        <v>45754</v>
      </c>
      <c r="B271" t="s">
        <v>25</v>
      </c>
      <c r="C271" t="s">
        <v>45</v>
      </c>
      <c r="D271" t="s">
        <v>21</v>
      </c>
      <c r="E271" t="s">
        <v>22</v>
      </c>
      <c r="F271">
        <v>109</v>
      </c>
      <c r="G271">
        <v>9.39</v>
      </c>
      <c r="H271">
        <v>1023.5100000000001</v>
      </c>
      <c r="I271" t="s">
        <v>28</v>
      </c>
      <c r="J271" t="s">
        <v>16</v>
      </c>
    </row>
    <row r="272" spans="1:11" x14ac:dyDescent="0.3">
      <c r="A272" s="9">
        <v>45755</v>
      </c>
      <c r="B272" t="s">
        <v>11</v>
      </c>
      <c r="C272" t="s">
        <v>30</v>
      </c>
      <c r="D272" t="s">
        <v>48</v>
      </c>
      <c r="E272" t="s">
        <v>14</v>
      </c>
      <c r="F272">
        <v>86</v>
      </c>
      <c r="G272">
        <v>89.81</v>
      </c>
      <c r="H272">
        <v>7723.66</v>
      </c>
      <c r="I272" t="s">
        <v>37</v>
      </c>
      <c r="J272" t="s">
        <v>47</v>
      </c>
      <c r="K272" t="s">
        <v>146</v>
      </c>
    </row>
    <row r="273" spans="1:11" x14ac:dyDescent="0.3">
      <c r="A273" s="9">
        <v>45755</v>
      </c>
      <c r="B273" t="s">
        <v>11</v>
      </c>
      <c r="C273" t="s">
        <v>12</v>
      </c>
      <c r="D273" t="s">
        <v>31</v>
      </c>
      <c r="E273" t="s">
        <v>32</v>
      </c>
      <c r="F273">
        <v>160</v>
      </c>
      <c r="G273">
        <v>11.63</v>
      </c>
      <c r="H273">
        <v>1860.8000000000002</v>
      </c>
      <c r="I273" t="s">
        <v>150</v>
      </c>
      <c r="J273" t="s">
        <v>16</v>
      </c>
    </row>
    <row r="274" spans="1:11" x14ac:dyDescent="0.3">
      <c r="A274" s="9">
        <v>45755</v>
      </c>
      <c r="B274" t="s">
        <v>11</v>
      </c>
      <c r="C274" t="s">
        <v>45</v>
      </c>
      <c r="D274" t="s">
        <v>58</v>
      </c>
      <c r="E274" t="s">
        <v>22</v>
      </c>
      <c r="F274">
        <v>101</v>
      </c>
      <c r="G274">
        <v>24.44</v>
      </c>
      <c r="H274">
        <v>2468.44</v>
      </c>
      <c r="I274" t="s">
        <v>150</v>
      </c>
      <c r="J274" t="s">
        <v>29</v>
      </c>
    </row>
    <row r="275" spans="1:11" x14ac:dyDescent="0.3">
      <c r="A275" s="9">
        <v>45756</v>
      </c>
      <c r="B275" t="s">
        <v>18</v>
      </c>
      <c r="C275" t="s">
        <v>45</v>
      </c>
      <c r="D275" t="s">
        <v>31</v>
      </c>
      <c r="E275" t="s">
        <v>32</v>
      </c>
      <c r="F275">
        <v>28</v>
      </c>
      <c r="G275">
        <v>11.15</v>
      </c>
      <c r="H275">
        <v>312.2</v>
      </c>
      <c r="I275" t="s">
        <v>15</v>
      </c>
      <c r="J275" t="s">
        <v>16</v>
      </c>
    </row>
    <row r="276" spans="1:11" x14ac:dyDescent="0.3">
      <c r="A276" s="9">
        <v>45758</v>
      </c>
      <c r="B276" t="s">
        <v>56</v>
      </c>
      <c r="C276" t="s">
        <v>30</v>
      </c>
      <c r="D276" t="s">
        <v>58</v>
      </c>
      <c r="E276" t="s">
        <v>22</v>
      </c>
      <c r="F276">
        <v>119</v>
      </c>
      <c r="G276">
        <v>24.85</v>
      </c>
      <c r="H276">
        <v>2957.15</v>
      </c>
      <c r="I276" t="s">
        <v>150</v>
      </c>
      <c r="J276" t="s">
        <v>16</v>
      </c>
      <c r="K276" t="s">
        <v>149</v>
      </c>
    </row>
    <row r="277" spans="1:11" x14ac:dyDescent="0.3">
      <c r="A277" s="9">
        <v>45758</v>
      </c>
      <c r="B277" t="s">
        <v>20</v>
      </c>
      <c r="C277" t="s">
        <v>12</v>
      </c>
      <c r="D277" t="s">
        <v>49</v>
      </c>
      <c r="E277" t="s">
        <v>50</v>
      </c>
      <c r="F277">
        <v>58</v>
      </c>
      <c r="G277">
        <v>18.739999999999998</v>
      </c>
      <c r="H277">
        <v>1086.9199999999998</v>
      </c>
      <c r="I277" t="s">
        <v>147</v>
      </c>
      <c r="J277" t="s">
        <v>47</v>
      </c>
      <c r="K277" t="s">
        <v>146</v>
      </c>
    </row>
    <row r="278" spans="1:11" x14ac:dyDescent="0.3">
      <c r="A278" s="9">
        <v>45758</v>
      </c>
      <c r="B278" t="s">
        <v>56</v>
      </c>
      <c r="C278" t="s">
        <v>45</v>
      </c>
      <c r="D278" t="s">
        <v>54</v>
      </c>
      <c r="E278" t="s">
        <v>44</v>
      </c>
      <c r="F278">
        <v>125</v>
      </c>
      <c r="G278">
        <v>116.65</v>
      </c>
      <c r="H278">
        <v>14581.25</v>
      </c>
      <c r="I278" t="s">
        <v>28</v>
      </c>
      <c r="J278" t="s">
        <v>47</v>
      </c>
      <c r="K278" t="s">
        <v>152</v>
      </c>
    </row>
    <row r="279" spans="1:11" x14ac:dyDescent="0.3">
      <c r="A279" s="9">
        <v>45758</v>
      </c>
      <c r="B279" t="s">
        <v>25</v>
      </c>
      <c r="C279" t="s">
        <v>45</v>
      </c>
      <c r="D279" t="s">
        <v>21</v>
      </c>
      <c r="E279" t="s">
        <v>22</v>
      </c>
      <c r="F279">
        <v>171</v>
      </c>
      <c r="G279">
        <v>10.32</v>
      </c>
      <c r="H279">
        <v>1764.72</v>
      </c>
      <c r="I279" t="s">
        <v>15</v>
      </c>
      <c r="J279" t="s">
        <v>16</v>
      </c>
      <c r="K279" t="s">
        <v>152</v>
      </c>
    </row>
    <row r="280" spans="1:11" x14ac:dyDescent="0.3">
      <c r="A280" s="9">
        <v>45758</v>
      </c>
      <c r="B280" t="s">
        <v>25</v>
      </c>
      <c r="C280" t="s">
        <v>12</v>
      </c>
      <c r="D280" t="s">
        <v>54</v>
      </c>
      <c r="E280" t="s">
        <v>44</v>
      </c>
      <c r="F280">
        <v>46</v>
      </c>
      <c r="G280">
        <v>108.79</v>
      </c>
      <c r="H280">
        <v>5004.34</v>
      </c>
      <c r="I280" t="s">
        <v>15</v>
      </c>
      <c r="J280" t="s">
        <v>29</v>
      </c>
    </row>
    <row r="281" spans="1:11" x14ac:dyDescent="0.3">
      <c r="A281" s="9">
        <v>45758</v>
      </c>
      <c r="B281" t="s">
        <v>20</v>
      </c>
      <c r="C281" t="s">
        <v>12</v>
      </c>
      <c r="D281" t="s">
        <v>48</v>
      </c>
      <c r="E281" t="s">
        <v>14</v>
      </c>
      <c r="F281">
        <v>164</v>
      </c>
      <c r="G281">
        <v>91.03</v>
      </c>
      <c r="H281">
        <v>14928.92</v>
      </c>
      <c r="I281" t="s">
        <v>150</v>
      </c>
      <c r="J281" t="s">
        <v>16</v>
      </c>
      <c r="K281" t="s">
        <v>149</v>
      </c>
    </row>
    <row r="282" spans="1:11" x14ac:dyDescent="0.3">
      <c r="A282" s="9">
        <v>45758</v>
      </c>
      <c r="B282" t="s">
        <v>34</v>
      </c>
      <c r="C282" t="s">
        <v>12</v>
      </c>
      <c r="D282" t="s">
        <v>21</v>
      </c>
      <c r="E282" t="s">
        <v>22</v>
      </c>
      <c r="F282">
        <v>106</v>
      </c>
      <c r="G282">
        <v>9.76</v>
      </c>
      <c r="H282">
        <v>1034.56</v>
      </c>
      <c r="I282" t="s">
        <v>150</v>
      </c>
      <c r="J282" t="s">
        <v>16</v>
      </c>
      <c r="K282" t="s">
        <v>151</v>
      </c>
    </row>
    <row r="283" spans="1:11" x14ac:dyDescent="0.3">
      <c r="A283" s="9">
        <v>45759</v>
      </c>
      <c r="B283" t="s">
        <v>20</v>
      </c>
      <c r="C283" t="s">
        <v>45</v>
      </c>
      <c r="D283" t="s">
        <v>43</v>
      </c>
      <c r="E283" t="s">
        <v>44</v>
      </c>
      <c r="F283">
        <v>23</v>
      </c>
      <c r="G283">
        <v>128.4</v>
      </c>
      <c r="H283">
        <v>2953.2000000000003</v>
      </c>
      <c r="I283" t="s">
        <v>28</v>
      </c>
      <c r="J283" t="s">
        <v>67</v>
      </c>
    </row>
    <row r="284" spans="1:11" x14ac:dyDescent="0.3">
      <c r="A284" s="9">
        <v>45760</v>
      </c>
      <c r="B284" t="s">
        <v>18</v>
      </c>
      <c r="C284" t="s">
        <v>45</v>
      </c>
      <c r="D284" t="s">
        <v>60</v>
      </c>
      <c r="E284" t="s">
        <v>44</v>
      </c>
      <c r="F284">
        <v>102</v>
      </c>
      <c r="G284">
        <v>126</v>
      </c>
      <c r="H284">
        <v>12852</v>
      </c>
      <c r="I284" t="s">
        <v>37</v>
      </c>
      <c r="J284" t="s">
        <v>16</v>
      </c>
      <c r="K284" t="s">
        <v>151</v>
      </c>
    </row>
    <row r="285" spans="1:11" x14ac:dyDescent="0.3">
      <c r="A285" s="9">
        <v>45760</v>
      </c>
      <c r="B285" t="s">
        <v>20</v>
      </c>
      <c r="C285" t="s">
        <v>45</v>
      </c>
      <c r="D285" t="s">
        <v>39</v>
      </c>
      <c r="E285" t="s">
        <v>40</v>
      </c>
      <c r="F285">
        <v>33</v>
      </c>
      <c r="G285">
        <v>55.69</v>
      </c>
      <c r="H285">
        <v>1837.77</v>
      </c>
      <c r="I285" t="s">
        <v>150</v>
      </c>
      <c r="J285" t="s">
        <v>47</v>
      </c>
    </row>
    <row r="286" spans="1:11" x14ac:dyDescent="0.3">
      <c r="A286" s="9">
        <v>45760</v>
      </c>
      <c r="B286" t="s">
        <v>20</v>
      </c>
      <c r="C286" t="s">
        <v>19</v>
      </c>
      <c r="D286" t="s">
        <v>48</v>
      </c>
      <c r="E286" t="s">
        <v>14</v>
      </c>
      <c r="F286">
        <v>157</v>
      </c>
      <c r="G286">
        <v>80.349999999999994</v>
      </c>
      <c r="H286">
        <v>12614.949999999999</v>
      </c>
      <c r="I286" t="s">
        <v>28</v>
      </c>
      <c r="J286" t="s">
        <v>16</v>
      </c>
      <c r="K286" t="s">
        <v>151</v>
      </c>
    </row>
    <row r="287" spans="1:11" x14ac:dyDescent="0.3">
      <c r="A287" s="9">
        <v>45761</v>
      </c>
      <c r="B287" t="s">
        <v>53</v>
      </c>
      <c r="C287" t="s">
        <v>45</v>
      </c>
      <c r="D287" t="s">
        <v>35</v>
      </c>
      <c r="E287" t="s">
        <v>32</v>
      </c>
      <c r="F287">
        <v>158</v>
      </c>
      <c r="G287">
        <v>14.27</v>
      </c>
      <c r="H287">
        <v>2254.66</v>
      </c>
      <c r="I287" t="s">
        <v>37</v>
      </c>
      <c r="J287" t="s">
        <v>47</v>
      </c>
      <c r="K287" t="s">
        <v>151</v>
      </c>
    </row>
    <row r="288" spans="1:11" x14ac:dyDescent="0.3">
      <c r="A288" s="9">
        <v>45761</v>
      </c>
      <c r="B288" t="s">
        <v>36</v>
      </c>
      <c r="C288" t="s">
        <v>19</v>
      </c>
      <c r="D288" t="s">
        <v>26</v>
      </c>
      <c r="E288" t="s">
        <v>27</v>
      </c>
      <c r="F288">
        <v>133</v>
      </c>
      <c r="G288">
        <v>50.66</v>
      </c>
      <c r="H288">
        <v>6737.78</v>
      </c>
      <c r="I288" t="s">
        <v>37</v>
      </c>
      <c r="J288" t="s">
        <v>16</v>
      </c>
    </row>
    <row r="289" spans="1:11" x14ac:dyDescent="0.3">
      <c r="A289" s="9">
        <v>45761</v>
      </c>
      <c r="B289" t="s">
        <v>56</v>
      </c>
      <c r="C289" t="s">
        <v>19</v>
      </c>
      <c r="D289" t="s">
        <v>54</v>
      </c>
      <c r="E289" t="s">
        <v>44</v>
      </c>
      <c r="F289">
        <v>65</v>
      </c>
      <c r="G289">
        <v>118.67</v>
      </c>
      <c r="H289">
        <v>7713.55</v>
      </c>
      <c r="I289" t="s">
        <v>147</v>
      </c>
      <c r="J289" t="s">
        <v>29</v>
      </c>
    </row>
    <row r="290" spans="1:11" x14ac:dyDescent="0.3">
      <c r="A290" s="9">
        <v>45761</v>
      </c>
      <c r="B290" t="s">
        <v>11</v>
      </c>
      <c r="C290" t="s">
        <v>38</v>
      </c>
      <c r="D290" t="s">
        <v>26</v>
      </c>
      <c r="E290" t="s">
        <v>27</v>
      </c>
      <c r="F290">
        <v>91</v>
      </c>
      <c r="G290">
        <v>59.14</v>
      </c>
      <c r="H290">
        <v>5381.74</v>
      </c>
      <c r="I290" t="s">
        <v>147</v>
      </c>
      <c r="J290" t="s">
        <v>16</v>
      </c>
    </row>
    <row r="291" spans="1:11" x14ac:dyDescent="0.3">
      <c r="A291" s="9">
        <v>45761</v>
      </c>
      <c r="B291" t="s">
        <v>34</v>
      </c>
      <c r="C291" t="s">
        <v>38</v>
      </c>
      <c r="D291" t="s">
        <v>54</v>
      </c>
      <c r="E291" t="s">
        <v>44</v>
      </c>
      <c r="F291">
        <v>86</v>
      </c>
      <c r="G291">
        <v>108.81</v>
      </c>
      <c r="H291">
        <v>9357.66</v>
      </c>
      <c r="I291" t="s">
        <v>147</v>
      </c>
      <c r="J291" t="s">
        <v>47</v>
      </c>
      <c r="K291" t="s">
        <v>151</v>
      </c>
    </row>
    <row r="292" spans="1:11" x14ac:dyDescent="0.3">
      <c r="A292" s="9">
        <v>45762</v>
      </c>
      <c r="B292" t="s">
        <v>25</v>
      </c>
      <c r="C292" t="s">
        <v>38</v>
      </c>
      <c r="D292" t="s">
        <v>49</v>
      </c>
      <c r="E292" t="s">
        <v>50</v>
      </c>
      <c r="F292">
        <v>51</v>
      </c>
      <c r="G292">
        <v>20.99</v>
      </c>
      <c r="H292">
        <v>1070.49</v>
      </c>
      <c r="I292" t="s">
        <v>37</v>
      </c>
      <c r="J292" t="s">
        <v>69</v>
      </c>
      <c r="K292" t="s">
        <v>149</v>
      </c>
    </row>
    <row r="293" spans="1:11" x14ac:dyDescent="0.3">
      <c r="A293" s="9">
        <v>45762</v>
      </c>
      <c r="B293" t="s">
        <v>25</v>
      </c>
      <c r="C293" t="s">
        <v>30</v>
      </c>
      <c r="D293" t="s">
        <v>26</v>
      </c>
      <c r="E293" t="s">
        <v>27</v>
      </c>
      <c r="F293">
        <v>77</v>
      </c>
      <c r="G293">
        <v>56.7</v>
      </c>
      <c r="H293">
        <v>4365.9000000000005</v>
      </c>
      <c r="I293" t="s">
        <v>147</v>
      </c>
      <c r="J293" t="s">
        <v>47</v>
      </c>
      <c r="K293" t="s">
        <v>146</v>
      </c>
    </row>
    <row r="294" spans="1:11" x14ac:dyDescent="0.3">
      <c r="A294" s="9">
        <v>45762</v>
      </c>
      <c r="B294" t="s">
        <v>53</v>
      </c>
      <c r="C294" t="s">
        <v>45</v>
      </c>
      <c r="D294" t="s">
        <v>48</v>
      </c>
      <c r="E294" t="s">
        <v>14</v>
      </c>
      <c r="F294">
        <v>63</v>
      </c>
      <c r="G294">
        <v>84.5</v>
      </c>
      <c r="H294">
        <v>5323.5</v>
      </c>
      <c r="I294" t="s">
        <v>37</v>
      </c>
      <c r="J294" t="s">
        <v>16</v>
      </c>
    </row>
    <row r="295" spans="1:11" x14ac:dyDescent="0.3">
      <c r="A295" s="9">
        <v>45763</v>
      </c>
      <c r="B295" t="s">
        <v>56</v>
      </c>
      <c r="C295" t="s">
        <v>19</v>
      </c>
      <c r="D295" t="s">
        <v>49</v>
      </c>
      <c r="E295" t="s">
        <v>50</v>
      </c>
      <c r="F295">
        <v>177</v>
      </c>
      <c r="G295">
        <v>21.17</v>
      </c>
      <c r="H295">
        <v>3747.09</v>
      </c>
      <c r="I295" t="s">
        <v>37</v>
      </c>
      <c r="J295" t="s">
        <v>16</v>
      </c>
      <c r="K295" t="s">
        <v>146</v>
      </c>
    </row>
    <row r="296" spans="1:11" x14ac:dyDescent="0.3">
      <c r="A296" s="9">
        <v>45763</v>
      </c>
      <c r="B296" t="s">
        <v>34</v>
      </c>
      <c r="C296" t="s">
        <v>19</v>
      </c>
      <c r="D296" t="s">
        <v>58</v>
      </c>
      <c r="E296" t="s">
        <v>22</v>
      </c>
      <c r="F296">
        <v>51</v>
      </c>
      <c r="G296">
        <v>25.4</v>
      </c>
      <c r="H296">
        <v>1295.3999999999999</v>
      </c>
      <c r="I296" t="s">
        <v>28</v>
      </c>
      <c r="J296" t="s">
        <v>16</v>
      </c>
      <c r="K296" t="s">
        <v>148</v>
      </c>
    </row>
    <row r="297" spans="1:11" x14ac:dyDescent="0.3">
      <c r="A297" s="9">
        <v>45765</v>
      </c>
      <c r="B297" t="s">
        <v>34</v>
      </c>
      <c r="C297" t="s">
        <v>30</v>
      </c>
      <c r="D297" t="s">
        <v>26</v>
      </c>
      <c r="E297" t="s">
        <v>27</v>
      </c>
      <c r="F297">
        <v>14</v>
      </c>
      <c r="G297">
        <v>51.06</v>
      </c>
      <c r="H297">
        <v>714.84</v>
      </c>
      <c r="I297" t="s">
        <v>37</v>
      </c>
      <c r="J297" t="s">
        <v>16</v>
      </c>
    </row>
    <row r="298" spans="1:11" x14ac:dyDescent="0.3">
      <c r="A298" s="9">
        <v>45766</v>
      </c>
      <c r="B298" t="s">
        <v>36</v>
      </c>
      <c r="C298" t="s">
        <v>45</v>
      </c>
      <c r="D298" t="s">
        <v>31</v>
      </c>
      <c r="E298" t="s">
        <v>32</v>
      </c>
      <c r="F298">
        <v>184</v>
      </c>
      <c r="G298">
        <v>11.43</v>
      </c>
      <c r="H298">
        <v>2103.12</v>
      </c>
      <c r="I298" t="s">
        <v>150</v>
      </c>
      <c r="J298" t="s">
        <v>16</v>
      </c>
      <c r="K298" t="s">
        <v>148</v>
      </c>
    </row>
    <row r="299" spans="1:11" x14ac:dyDescent="0.3">
      <c r="A299" s="9">
        <v>45767</v>
      </c>
      <c r="B299" t="s">
        <v>34</v>
      </c>
      <c r="C299" t="s">
        <v>45</v>
      </c>
      <c r="D299" t="s">
        <v>52</v>
      </c>
      <c r="E299" t="s">
        <v>27</v>
      </c>
      <c r="F299">
        <v>157</v>
      </c>
      <c r="G299">
        <v>50.21</v>
      </c>
      <c r="H299">
        <v>7882.97</v>
      </c>
      <c r="I299" t="s">
        <v>15</v>
      </c>
      <c r="J299" t="s">
        <v>16</v>
      </c>
      <c r="K299" t="s">
        <v>151</v>
      </c>
    </row>
    <row r="300" spans="1:11" x14ac:dyDescent="0.3">
      <c r="A300" s="9">
        <v>45768</v>
      </c>
      <c r="B300" t="s">
        <v>25</v>
      </c>
      <c r="C300" t="s">
        <v>30</v>
      </c>
      <c r="D300" t="s">
        <v>31</v>
      </c>
      <c r="E300" t="s">
        <v>32</v>
      </c>
      <c r="F300">
        <v>103</v>
      </c>
      <c r="G300">
        <v>12.57</v>
      </c>
      <c r="H300">
        <v>1294.71</v>
      </c>
      <c r="I300" t="s">
        <v>147</v>
      </c>
      <c r="J300" t="s">
        <v>16</v>
      </c>
      <c r="K300" t="s">
        <v>151</v>
      </c>
    </row>
    <row r="301" spans="1:11" x14ac:dyDescent="0.3">
      <c r="A301" s="9">
        <v>45768</v>
      </c>
      <c r="B301" t="s">
        <v>25</v>
      </c>
      <c r="C301" t="s">
        <v>45</v>
      </c>
      <c r="D301" t="s">
        <v>31</v>
      </c>
      <c r="E301" t="s">
        <v>32</v>
      </c>
      <c r="F301">
        <v>92</v>
      </c>
      <c r="G301">
        <v>11.67</v>
      </c>
      <c r="H301">
        <v>1073.6400000000001</v>
      </c>
      <c r="I301" t="s">
        <v>15</v>
      </c>
      <c r="J301" t="s">
        <v>29</v>
      </c>
      <c r="K301" t="s">
        <v>146</v>
      </c>
    </row>
    <row r="302" spans="1:11" x14ac:dyDescent="0.3">
      <c r="A302" s="9">
        <v>45768</v>
      </c>
      <c r="B302" t="s">
        <v>25</v>
      </c>
      <c r="C302" t="s">
        <v>45</v>
      </c>
      <c r="D302" t="s">
        <v>13</v>
      </c>
      <c r="E302" t="s">
        <v>14</v>
      </c>
      <c r="F302">
        <v>50</v>
      </c>
      <c r="G302">
        <v>43.78</v>
      </c>
      <c r="H302">
        <v>2189</v>
      </c>
      <c r="I302" t="s">
        <v>150</v>
      </c>
      <c r="J302" t="s">
        <v>47</v>
      </c>
      <c r="K302" t="s">
        <v>148</v>
      </c>
    </row>
    <row r="303" spans="1:11" x14ac:dyDescent="0.3">
      <c r="A303" s="9">
        <v>45769</v>
      </c>
      <c r="B303" t="s">
        <v>18</v>
      </c>
      <c r="C303" t="s">
        <v>12</v>
      </c>
      <c r="D303" t="s">
        <v>13</v>
      </c>
      <c r="E303" t="s">
        <v>14</v>
      </c>
      <c r="F303">
        <v>96</v>
      </c>
      <c r="G303">
        <v>44.97</v>
      </c>
      <c r="H303">
        <v>4317.12</v>
      </c>
      <c r="I303" t="s">
        <v>15</v>
      </c>
      <c r="J303" t="s">
        <v>47</v>
      </c>
      <c r="K303" t="s">
        <v>149</v>
      </c>
    </row>
    <row r="304" spans="1:11" x14ac:dyDescent="0.3">
      <c r="A304" s="9">
        <v>45769</v>
      </c>
      <c r="B304" t="s">
        <v>25</v>
      </c>
      <c r="C304" t="s">
        <v>38</v>
      </c>
      <c r="D304" t="s">
        <v>26</v>
      </c>
      <c r="E304" t="s">
        <v>27</v>
      </c>
      <c r="F304">
        <v>153</v>
      </c>
      <c r="G304">
        <v>54.08</v>
      </c>
      <c r="H304">
        <v>8274.24</v>
      </c>
      <c r="I304" t="s">
        <v>150</v>
      </c>
      <c r="J304" t="s">
        <v>47</v>
      </c>
      <c r="K304" t="s">
        <v>149</v>
      </c>
    </row>
    <row r="305" spans="1:11" x14ac:dyDescent="0.3">
      <c r="A305" s="9">
        <v>45770</v>
      </c>
      <c r="B305" t="s">
        <v>56</v>
      </c>
      <c r="C305" t="s">
        <v>45</v>
      </c>
      <c r="D305" t="s">
        <v>48</v>
      </c>
      <c r="E305" t="s">
        <v>14</v>
      </c>
      <c r="F305">
        <v>197</v>
      </c>
      <c r="G305">
        <v>90.57</v>
      </c>
      <c r="H305">
        <v>17842.289999999997</v>
      </c>
      <c r="I305" t="s">
        <v>147</v>
      </c>
      <c r="J305" t="s">
        <v>16</v>
      </c>
      <c r="K305" t="s">
        <v>151</v>
      </c>
    </row>
    <row r="306" spans="1:11" x14ac:dyDescent="0.3">
      <c r="A306" s="9">
        <v>45770</v>
      </c>
      <c r="B306" t="s">
        <v>25</v>
      </c>
      <c r="C306" t="s">
        <v>19</v>
      </c>
      <c r="D306" t="s">
        <v>48</v>
      </c>
      <c r="E306" t="s">
        <v>14</v>
      </c>
      <c r="F306">
        <v>82</v>
      </c>
      <c r="G306">
        <v>88.73</v>
      </c>
      <c r="H306">
        <v>7275.8600000000006</v>
      </c>
      <c r="I306" t="s">
        <v>147</v>
      </c>
      <c r="J306" t="s">
        <v>69</v>
      </c>
    </row>
    <row r="307" spans="1:11" x14ac:dyDescent="0.3">
      <c r="A307" s="9">
        <v>45770</v>
      </c>
      <c r="B307" t="s">
        <v>34</v>
      </c>
      <c r="C307" t="s">
        <v>45</v>
      </c>
      <c r="D307" t="s">
        <v>39</v>
      </c>
      <c r="E307" t="s">
        <v>40</v>
      </c>
      <c r="F307">
        <v>135</v>
      </c>
      <c r="G307">
        <v>52.24</v>
      </c>
      <c r="H307">
        <v>7052.4000000000005</v>
      </c>
      <c r="I307" t="s">
        <v>37</v>
      </c>
      <c r="J307" t="s">
        <v>16</v>
      </c>
      <c r="K307" t="s">
        <v>152</v>
      </c>
    </row>
    <row r="308" spans="1:11" x14ac:dyDescent="0.3">
      <c r="A308" s="9">
        <v>45771</v>
      </c>
      <c r="B308" t="s">
        <v>34</v>
      </c>
      <c r="C308" t="s">
        <v>12</v>
      </c>
      <c r="D308" t="s">
        <v>35</v>
      </c>
      <c r="E308" t="s">
        <v>32</v>
      </c>
      <c r="F308">
        <v>61</v>
      </c>
      <c r="G308">
        <v>13.49</v>
      </c>
      <c r="H308">
        <v>822.89</v>
      </c>
      <c r="I308" t="s">
        <v>15</v>
      </c>
      <c r="J308" t="s">
        <v>16</v>
      </c>
    </row>
    <row r="309" spans="1:11" x14ac:dyDescent="0.3">
      <c r="A309" s="9">
        <v>45771</v>
      </c>
      <c r="B309" t="s">
        <v>18</v>
      </c>
      <c r="C309" t="s">
        <v>30</v>
      </c>
      <c r="D309" t="s">
        <v>52</v>
      </c>
      <c r="E309" t="s">
        <v>27</v>
      </c>
      <c r="F309">
        <v>74</v>
      </c>
      <c r="G309">
        <v>45.34</v>
      </c>
      <c r="H309">
        <v>3355.1600000000003</v>
      </c>
      <c r="I309" t="s">
        <v>150</v>
      </c>
      <c r="J309" t="s">
        <v>16</v>
      </c>
      <c r="K309" t="s">
        <v>152</v>
      </c>
    </row>
    <row r="310" spans="1:11" x14ac:dyDescent="0.3">
      <c r="A310" s="9">
        <v>45771</v>
      </c>
      <c r="B310" t="s">
        <v>20</v>
      </c>
      <c r="C310" t="s">
        <v>30</v>
      </c>
      <c r="D310" t="s">
        <v>35</v>
      </c>
      <c r="E310" t="s">
        <v>32</v>
      </c>
      <c r="F310">
        <v>127</v>
      </c>
      <c r="G310">
        <v>13.09</v>
      </c>
      <c r="H310">
        <v>1662.43</v>
      </c>
      <c r="I310" t="s">
        <v>37</v>
      </c>
      <c r="J310" t="s">
        <v>29</v>
      </c>
      <c r="K310" t="s">
        <v>151</v>
      </c>
    </row>
    <row r="311" spans="1:11" x14ac:dyDescent="0.3">
      <c r="A311" s="9">
        <v>45771</v>
      </c>
      <c r="B311" t="s">
        <v>25</v>
      </c>
      <c r="C311" t="s">
        <v>12</v>
      </c>
      <c r="D311" t="s">
        <v>60</v>
      </c>
      <c r="E311" t="s">
        <v>44</v>
      </c>
      <c r="F311">
        <v>69</v>
      </c>
      <c r="G311">
        <v>117.58</v>
      </c>
      <c r="H311">
        <v>8113.0199999999995</v>
      </c>
      <c r="I311" t="s">
        <v>150</v>
      </c>
      <c r="J311" t="s">
        <v>16</v>
      </c>
    </row>
    <row r="312" spans="1:11" x14ac:dyDescent="0.3">
      <c r="A312" s="9">
        <v>45771</v>
      </c>
      <c r="B312" t="s">
        <v>36</v>
      </c>
      <c r="C312" t="s">
        <v>30</v>
      </c>
      <c r="D312" t="s">
        <v>39</v>
      </c>
      <c r="E312" t="s">
        <v>40</v>
      </c>
      <c r="F312">
        <v>132</v>
      </c>
      <c r="G312">
        <v>51.83</v>
      </c>
      <c r="H312">
        <v>6841.5599999999995</v>
      </c>
      <c r="I312" t="s">
        <v>15</v>
      </c>
      <c r="J312" t="s">
        <v>29</v>
      </c>
      <c r="K312" t="s">
        <v>151</v>
      </c>
    </row>
    <row r="313" spans="1:11" x14ac:dyDescent="0.3">
      <c r="A313" s="9">
        <v>45771</v>
      </c>
      <c r="B313" t="s">
        <v>18</v>
      </c>
      <c r="C313" t="s">
        <v>30</v>
      </c>
      <c r="D313" t="s">
        <v>13</v>
      </c>
      <c r="E313" t="s">
        <v>14</v>
      </c>
      <c r="F313">
        <v>75</v>
      </c>
      <c r="G313">
        <v>48.14</v>
      </c>
      <c r="H313">
        <v>3610.5</v>
      </c>
      <c r="I313" t="s">
        <v>15</v>
      </c>
      <c r="J313" t="s">
        <v>16</v>
      </c>
      <c r="K313" t="s">
        <v>149</v>
      </c>
    </row>
    <row r="314" spans="1:11" x14ac:dyDescent="0.3">
      <c r="A314" s="9">
        <v>45772</v>
      </c>
      <c r="B314" t="s">
        <v>20</v>
      </c>
      <c r="C314" t="s">
        <v>45</v>
      </c>
      <c r="D314" t="s">
        <v>31</v>
      </c>
      <c r="E314" t="s">
        <v>32</v>
      </c>
      <c r="F314">
        <v>187</v>
      </c>
      <c r="G314">
        <v>11.98</v>
      </c>
      <c r="H314">
        <v>2240.2600000000002</v>
      </c>
      <c r="I314" t="s">
        <v>150</v>
      </c>
      <c r="J314" t="s">
        <v>29</v>
      </c>
    </row>
    <row r="315" spans="1:11" x14ac:dyDescent="0.3">
      <c r="A315" s="9">
        <v>45772</v>
      </c>
      <c r="B315" t="s">
        <v>56</v>
      </c>
      <c r="C315" t="s">
        <v>19</v>
      </c>
      <c r="D315" t="s">
        <v>35</v>
      </c>
      <c r="E315" t="s">
        <v>32</v>
      </c>
      <c r="F315">
        <v>73</v>
      </c>
      <c r="G315">
        <v>13.67</v>
      </c>
      <c r="H315">
        <v>997.91</v>
      </c>
      <c r="I315" t="s">
        <v>28</v>
      </c>
      <c r="J315" t="s">
        <v>16</v>
      </c>
    </row>
    <row r="316" spans="1:11" x14ac:dyDescent="0.3">
      <c r="A316" s="9">
        <v>45774</v>
      </c>
      <c r="B316" t="s">
        <v>34</v>
      </c>
      <c r="C316" t="s">
        <v>12</v>
      </c>
      <c r="D316" t="s">
        <v>39</v>
      </c>
      <c r="E316" t="s">
        <v>40</v>
      </c>
      <c r="F316">
        <v>197</v>
      </c>
      <c r="G316">
        <v>55.49</v>
      </c>
      <c r="H316">
        <v>10931.53</v>
      </c>
      <c r="I316" t="s">
        <v>15</v>
      </c>
      <c r="J316" t="s">
        <v>16</v>
      </c>
      <c r="K316" t="s">
        <v>152</v>
      </c>
    </row>
    <row r="317" spans="1:11" x14ac:dyDescent="0.3">
      <c r="A317" s="9">
        <v>45774</v>
      </c>
      <c r="B317" t="s">
        <v>56</v>
      </c>
      <c r="C317" t="s">
        <v>45</v>
      </c>
      <c r="D317" t="s">
        <v>26</v>
      </c>
      <c r="E317" t="s">
        <v>27</v>
      </c>
      <c r="F317">
        <v>182</v>
      </c>
      <c r="G317">
        <v>56.96</v>
      </c>
      <c r="H317">
        <v>10366.719999999999</v>
      </c>
      <c r="I317" t="s">
        <v>15</v>
      </c>
      <c r="J317" t="s">
        <v>16</v>
      </c>
      <c r="K317" t="s">
        <v>151</v>
      </c>
    </row>
    <row r="318" spans="1:11" x14ac:dyDescent="0.3">
      <c r="A318" s="9">
        <v>45774</v>
      </c>
      <c r="B318" t="s">
        <v>56</v>
      </c>
      <c r="C318" t="s">
        <v>19</v>
      </c>
      <c r="D318" t="s">
        <v>35</v>
      </c>
      <c r="E318" t="s">
        <v>32</v>
      </c>
      <c r="F318">
        <v>84</v>
      </c>
      <c r="G318">
        <v>13.56</v>
      </c>
      <c r="H318">
        <v>1139.04</v>
      </c>
      <c r="I318" t="s">
        <v>147</v>
      </c>
      <c r="J318" t="s">
        <v>47</v>
      </c>
    </row>
    <row r="319" spans="1:11" x14ac:dyDescent="0.3">
      <c r="A319" s="9">
        <v>45774</v>
      </c>
      <c r="B319" t="s">
        <v>36</v>
      </c>
      <c r="C319" t="s">
        <v>45</v>
      </c>
      <c r="D319" t="s">
        <v>59</v>
      </c>
      <c r="E319" t="s">
        <v>50</v>
      </c>
      <c r="F319">
        <v>168</v>
      </c>
      <c r="G319">
        <v>31.04</v>
      </c>
      <c r="H319">
        <v>5214.72</v>
      </c>
      <c r="I319" t="s">
        <v>150</v>
      </c>
      <c r="J319" t="s">
        <v>16</v>
      </c>
      <c r="K319" t="s">
        <v>151</v>
      </c>
    </row>
    <row r="320" spans="1:11" x14ac:dyDescent="0.3">
      <c r="A320" s="9">
        <v>45774</v>
      </c>
      <c r="B320" t="s">
        <v>20</v>
      </c>
      <c r="C320" t="s">
        <v>12</v>
      </c>
      <c r="D320" t="s">
        <v>54</v>
      </c>
      <c r="E320" t="s">
        <v>44</v>
      </c>
      <c r="F320">
        <v>74</v>
      </c>
      <c r="G320">
        <v>112.61</v>
      </c>
      <c r="H320">
        <v>8333.14</v>
      </c>
      <c r="I320" t="s">
        <v>15</v>
      </c>
      <c r="J320" t="s">
        <v>16</v>
      </c>
      <c r="K320" t="s">
        <v>151</v>
      </c>
    </row>
    <row r="321" spans="1:11" x14ac:dyDescent="0.3">
      <c r="A321" s="9">
        <v>45774</v>
      </c>
      <c r="B321" t="s">
        <v>18</v>
      </c>
      <c r="C321" t="s">
        <v>45</v>
      </c>
      <c r="D321" t="s">
        <v>43</v>
      </c>
      <c r="E321" t="s">
        <v>44</v>
      </c>
      <c r="F321">
        <v>126</v>
      </c>
      <c r="G321">
        <v>131.08000000000001</v>
      </c>
      <c r="H321">
        <v>16516.080000000002</v>
      </c>
      <c r="I321" t="s">
        <v>37</v>
      </c>
      <c r="J321" t="s">
        <v>16</v>
      </c>
      <c r="K321" t="s">
        <v>146</v>
      </c>
    </row>
    <row r="322" spans="1:11" x14ac:dyDescent="0.3">
      <c r="A322" s="9">
        <v>45775</v>
      </c>
      <c r="B322" t="s">
        <v>36</v>
      </c>
      <c r="C322" t="s">
        <v>30</v>
      </c>
      <c r="D322" t="s">
        <v>13</v>
      </c>
      <c r="E322" t="s">
        <v>14</v>
      </c>
      <c r="F322">
        <v>37</v>
      </c>
      <c r="G322">
        <v>45.64</v>
      </c>
      <c r="H322">
        <v>1688.68</v>
      </c>
      <c r="I322" t="s">
        <v>15</v>
      </c>
      <c r="J322" t="s">
        <v>16</v>
      </c>
    </row>
    <row r="323" spans="1:11" x14ac:dyDescent="0.3">
      <c r="A323" s="9">
        <v>45775</v>
      </c>
      <c r="B323" t="s">
        <v>25</v>
      </c>
      <c r="C323" t="s">
        <v>19</v>
      </c>
      <c r="D323" t="s">
        <v>49</v>
      </c>
      <c r="E323" t="s">
        <v>50</v>
      </c>
      <c r="F323">
        <v>193</v>
      </c>
      <c r="G323">
        <v>18.66</v>
      </c>
      <c r="H323">
        <v>3601.38</v>
      </c>
      <c r="I323" t="s">
        <v>37</v>
      </c>
      <c r="J323" t="s">
        <v>16</v>
      </c>
      <c r="K323" t="s">
        <v>148</v>
      </c>
    </row>
    <row r="324" spans="1:11" x14ac:dyDescent="0.3">
      <c r="A324" s="9">
        <v>45775</v>
      </c>
      <c r="B324" t="s">
        <v>11</v>
      </c>
      <c r="C324" t="s">
        <v>45</v>
      </c>
      <c r="D324" t="s">
        <v>49</v>
      </c>
      <c r="E324" t="s">
        <v>50</v>
      </c>
      <c r="F324">
        <v>17</v>
      </c>
      <c r="G324">
        <v>19.23</v>
      </c>
      <c r="H324">
        <v>326.91000000000003</v>
      </c>
      <c r="I324" t="s">
        <v>28</v>
      </c>
      <c r="J324" t="s">
        <v>16</v>
      </c>
      <c r="K324" t="s">
        <v>151</v>
      </c>
    </row>
    <row r="325" spans="1:11" x14ac:dyDescent="0.3">
      <c r="A325" s="9">
        <v>45775</v>
      </c>
      <c r="B325" t="s">
        <v>11</v>
      </c>
      <c r="C325" t="s">
        <v>12</v>
      </c>
      <c r="D325" t="s">
        <v>52</v>
      </c>
      <c r="E325" t="s">
        <v>27</v>
      </c>
      <c r="F325">
        <v>11</v>
      </c>
      <c r="G325">
        <v>47.95</v>
      </c>
      <c r="H325">
        <v>527.45000000000005</v>
      </c>
      <c r="I325" t="s">
        <v>37</v>
      </c>
      <c r="J325" t="s">
        <v>29</v>
      </c>
    </row>
    <row r="326" spans="1:11" x14ac:dyDescent="0.3">
      <c r="A326" s="9">
        <v>45775</v>
      </c>
      <c r="B326" t="s">
        <v>11</v>
      </c>
      <c r="C326" t="s">
        <v>30</v>
      </c>
      <c r="D326" t="s">
        <v>49</v>
      </c>
      <c r="E326" t="s">
        <v>50</v>
      </c>
      <c r="F326">
        <v>194</v>
      </c>
      <c r="G326">
        <v>18.8</v>
      </c>
      <c r="H326">
        <v>3647.2000000000003</v>
      </c>
      <c r="I326" t="s">
        <v>147</v>
      </c>
      <c r="J326" t="s">
        <v>16</v>
      </c>
      <c r="K326" t="s">
        <v>148</v>
      </c>
    </row>
    <row r="327" spans="1:11" x14ac:dyDescent="0.3">
      <c r="A327" s="9">
        <v>45776</v>
      </c>
      <c r="B327" t="s">
        <v>36</v>
      </c>
      <c r="C327" t="s">
        <v>12</v>
      </c>
      <c r="D327" t="s">
        <v>21</v>
      </c>
      <c r="E327" t="s">
        <v>22</v>
      </c>
      <c r="F327">
        <v>194</v>
      </c>
      <c r="G327">
        <v>9.8800000000000008</v>
      </c>
      <c r="H327">
        <v>1916.7200000000003</v>
      </c>
      <c r="I327" t="s">
        <v>37</v>
      </c>
      <c r="J327" t="s">
        <v>16</v>
      </c>
      <c r="K327" t="s">
        <v>148</v>
      </c>
    </row>
    <row r="328" spans="1:11" x14ac:dyDescent="0.3">
      <c r="A328" s="9">
        <v>45776</v>
      </c>
      <c r="B328" t="s">
        <v>11</v>
      </c>
      <c r="C328" t="s">
        <v>30</v>
      </c>
      <c r="D328" t="s">
        <v>39</v>
      </c>
      <c r="E328" t="s">
        <v>40</v>
      </c>
      <c r="F328">
        <v>138</v>
      </c>
      <c r="G328">
        <v>57.45</v>
      </c>
      <c r="H328">
        <v>7928.1</v>
      </c>
      <c r="I328" t="s">
        <v>37</v>
      </c>
      <c r="J328" t="s">
        <v>16</v>
      </c>
    </row>
    <row r="329" spans="1:11" x14ac:dyDescent="0.3">
      <c r="A329" s="9">
        <v>45776</v>
      </c>
      <c r="B329" t="s">
        <v>25</v>
      </c>
      <c r="C329" t="s">
        <v>19</v>
      </c>
      <c r="D329" t="s">
        <v>59</v>
      </c>
      <c r="E329" t="s">
        <v>50</v>
      </c>
      <c r="F329">
        <v>99</v>
      </c>
      <c r="G329">
        <v>28.21</v>
      </c>
      <c r="H329">
        <v>2792.79</v>
      </c>
      <c r="I329" t="s">
        <v>147</v>
      </c>
      <c r="J329" t="s">
        <v>16</v>
      </c>
      <c r="K329" t="s">
        <v>148</v>
      </c>
    </row>
    <row r="330" spans="1:11" x14ac:dyDescent="0.3">
      <c r="A330" s="9">
        <v>45776</v>
      </c>
      <c r="B330" t="s">
        <v>18</v>
      </c>
      <c r="C330" t="s">
        <v>45</v>
      </c>
      <c r="D330" t="s">
        <v>13</v>
      </c>
      <c r="E330" t="s">
        <v>14</v>
      </c>
      <c r="F330">
        <v>71</v>
      </c>
      <c r="G330">
        <v>45.35</v>
      </c>
      <c r="H330">
        <v>3219.85</v>
      </c>
      <c r="I330" t="s">
        <v>28</v>
      </c>
      <c r="J330" t="s">
        <v>16</v>
      </c>
      <c r="K330" t="s">
        <v>149</v>
      </c>
    </row>
    <row r="331" spans="1:11" x14ac:dyDescent="0.3">
      <c r="A331" s="9">
        <v>45777</v>
      </c>
      <c r="B331" t="s">
        <v>18</v>
      </c>
      <c r="C331" t="s">
        <v>45</v>
      </c>
      <c r="D331" t="s">
        <v>31</v>
      </c>
      <c r="E331" t="s">
        <v>32</v>
      </c>
      <c r="F331">
        <v>92</v>
      </c>
      <c r="G331">
        <v>12.64</v>
      </c>
      <c r="H331">
        <v>1162.8800000000001</v>
      </c>
      <c r="I331" t="s">
        <v>150</v>
      </c>
      <c r="J331" t="s">
        <v>16</v>
      </c>
      <c r="K331" t="s">
        <v>149</v>
      </c>
    </row>
    <row r="332" spans="1:11" x14ac:dyDescent="0.3">
      <c r="A332" s="9">
        <v>45777</v>
      </c>
      <c r="B332" t="s">
        <v>25</v>
      </c>
      <c r="C332" t="s">
        <v>30</v>
      </c>
      <c r="D332" t="s">
        <v>43</v>
      </c>
      <c r="E332" t="s">
        <v>44</v>
      </c>
      <c r="F332">
        <v>92</v>
      </c>
      <c r="G332">
        <v>135.69</v>
      </c>
      <c r="H332">
        <v>12483.48</v>
      </c>
      <c r="I332" t="s">
        <v>15</v>
      </c>
      <c r="J332" t="s">
        <v>16</v>
      </c>
      <c r="K332" t="s">
        <v>151</v>
      </c>
    </row>
    <row r="333" spans="1:11" x14ac:dyDescent="0.3">
      <c r="A333" s="9">
        <v>45777</v>
      </c>
      <c r="B333" t="s">
        <v>25</v>
      </c>
      <c r="C333" t="s">
        <v>30</v>
      </c>
      <c r="D333" t="s">
        <v>49</v>
      </c>
      <c r="E333" t="s">
        <v>50</v>
      </c>
      <c r="F333">
        <v>188</v>
      </c>
      <c r="G333">
        <v>19.86</v>
      </c>
      <c r="H333">
        <v>3733.68</v>
      </c>
      <c r="I333" t="s">
        <v>147</v>
      </c>
      <c r="J333" t="s">
        <v>29</v>
      </c>
    </row>
    <row r="334" spans="1:11" x14ac:dyDescent="0.3">
      <c r="A334" s="9">
        <v>45779</v>
      </c>
      <c r="B334" t="s">
        <v>25</v>
      </c>
      <c r="C334" t="s">
        <v>30</v>
      </c>
      <c r="D334" t="s">
        <v>31</v>
      </c>
      <c r="E334" t="s">
        <v>32</v>
      </c>
      <c r="F334">
        <v>141</v>
      </c>
      <c r="G334">
        <v>12.23</v>
      </c>
      <c r="H334">
        <v>1724.43</v>
      </c>
      <c r="I334" t="s">
        <v>37</v>
      </c>
      <c r="J334" t="s">
        <v>16</v>
      </c>
    </row>
    <row r="335" spans="1:11" x14ac:dyDescent="0.3">
      <c r="A335" s="9">
        <v>45779</v>
      </c>
      <c r="B335" t="s">
        <v>56</v>
      </c>
      <c r="C335" t="s">
        <v>30</v>
      </c>
      <c r="D335" t="s">
        <v>59</v>
      </c>
      <c r="E335" t="s">
        <v>50</v>
      </c>
      <c r="F335">
        <v>111</v>
      </c>
      <c r="G335">
        <v>32.380000000000003</v>
      </c>
      <c r="H335">
        <v>3594.1800000000003</v>
      </c>
      <c r="I335" t="s">
        <v>37</v>
      </c>
      <c r="J335" t="s">
        <v>16</v>
      </c>
      <c r="K335" t="s">
        <v>148</v>
      </c>
    </row>
    <row r="336" spans="1:11" x14ac:dyDescent="0.3">
      <c r="A336" s="9">
        <v>45780</v>
      </c>
      <c r="B336" t="s">
        <v>25</v>
      </c>
      <c r="C336" t="s">
        <v>19</v>
      </c>
      <c r="D336" t="s">
        <v>43</v>
      </c>
      <c r="E336" t="s">
        <v>44</v>
      </c>
      <c r="F336">
        <v>185</v>
      </c>
      <c r="G336">
        <v>126.41</v>
      </c>
      <c r="H336">
        <v>23385.85</v>
      </c>
      <c r="I336" t="s">
        <v>15</v>
      </c>
      <c r="J336" t="s">
        <v>16</v>
      </c>
    </row>
    <row r="337" spans="1:11" x14ac:dyDescent="0.3">
      <c r="A337" s="9">
        <v>45781</v>
      </c>
      <c r="B337" t="s">
        <v>20</v>
      </c>
      <c r="C337" t="s">
        <v>38</v>
      </c>
      <c r="D337" t="s">
        <v>31</v>
      </c>
      <c r="E337" t="s">
        <v>32</v>
      </c>
      <c r="F337">
        <v>152</v>
      </c>
      <c r="G337">
        <v>12.85</v>
      </c>
      <c r="H337">
        <v>1953.2</v>
      </c>
      <c r="I337" t="s">
        <v>150</v>
      </c>
      <c r="J337" t="s">
        <v>16</v>
      </c>
      <c r="K337" t="s">
        <v>146</v>
      </c>
    </row>
    <row r="338" spans="1:11" x14ac:dyDescent="0.3">
      <c r="A338" s="9">
        <v>45782</v>
      </c>
      <c r="B338" t="s">
        <v>34</v>
      </c>
      <c r="C338" t="s">
        <v>30</v>
      </c>
      <c r="D338" t="s">
        <v>35</v>
      </c>
      <c r="E338" t="s">
        <v>32</v>
      </c>
      <c r="F338">
        <v>111</v>
      </c>
      <c r="G338">
        <v>13</v>
      </c>
      <c r="H338">
        <v>1443</v>
      </c>
      <c r="I338" t="s">
        <v>15</v>
      </c>
      <c r="J338" t="s">
        <v>16</v>
      </c>
    </row>
    <row r="339" spans="1:11" x14ac:dyDescent="0.3">
      <c r="A339" s="9">
        <v>45782</v>
      </c>
      <c r="B339" t="s">
        <v>11</v>
      </c>
      <c r="C339" t="s">
        <v>19</v>
      </c>
      <c r="D339" t="s">
        <v>21</v>
      </c>
      <c r="E339" t="s">
        <v>22</v>
      </c>
      <c r="F339">
        <v>178</v>
      </c>
      <c r="G339">
        <v>10.130000000000001</v>
      </c>
      <c r="H339">
        <v>1803.14</v>
      </c>
      <c r="I339" t="s">
        <v>37</v>
      </c>
      <c r="J339" t="s">
        <v>16</v>
      </c>
      <c r="K339" t="s">
        <v>151</v>
      </c>
    </row>
    <row r="340" spans="1:11" x14ac:dyDescent="0.3">
      <c r="A340" s="9">
        <v>45782</v>
      </c>
      <c r="B340" t="s">
        <v>11</v>
      </c>
      <c r="C340" t="s">
        <v>30</v>
      </c>
      <c r="D340" t="s">
        <v>13</v>
      </c>
      <c r="E340" t="s">
        <v>14</v>
      </c>
      <c r="F340">
        <v>167</v>
      </c>
      <c r="G340">
        <v>45.95</v>
      </c>
      <c r="H340">
        <v>7673.6500000000005</v>
      </c>
      <c r="I340" t="s">
        <v>15</v>
      </c>
      <c r="J340" t="s">
        <v>16</v>
      </c>
      <c r="K340" t="s">
        <v>149</v>
      </c>
    </row>
    <row r="341" spans="1:11" x14ac:dyDescent="0.3">
      <c r="A341" s="9">
        <v>45782</v>
      </c>
      <c r="B341" t="s">
        <v>20</v>
      </c>
      <c r="C341" t="s">
        <v>19</v>
      </c>
      <c r="D341" t="s">
        <v>52</v>
      </c>
      <c r="E341" t="s">
        <v>27</v>
      </c>
      <c r="F341">
        <v>175</v>
      </c>
      <c r="G341">
        <v>50.35</v>
      </c>
      <c r="H341">
        <v>8811.25</v>
      </c>
      <c r="I341" t="s">
        <v>28</v>
      </c>
      <c r="J341" t="s">
        <v>29</v>
      </c>
    </row>
    <row r="342" spans="1:11" x14ac:dyDescent="0.3">
      <c r="A342" s="9">
        <v>45782</v>
      </c>
      <c r="B342" t="s">
        <v>53</v>
      </c>
      <c r="C342" t="s">
        <v>38</v>
      </c>
      <c r="D342" t="s">
        <v>35</v>
      </c>
      <c r="E342" t="s">
        <v>32</v>
      </c>
      <c r="F342">
        <v>138</v>
      </c>
      <c r="G342">
        <v>14.14</v>
      </c>
      <c r="H342">
        <v>1951.3200000000002</v>
      </c>
      <c r="I342" t="s">
        <v>15</v>
      </c>
      <c r="J342" t="s">
        <v>29</v>
      </c>
    </row>
    <row r="343" spans="1:11" x14ac:dyDescent="0.3">
      <c r="A343" s="9">
        <v>45783</v>
      </c>
      <c r="B343" t="s">
        <v>53</v>
      </c>
      <c r="C343" t="s">
        <v>12</v>
      </c>
      <c r="D343" t="s">
        <v>48</v>
      </c>
      <c r="E343" t="s">
        <v>14</v>
      </c>
      <c r="F343">
        <v>172</v>
      </c>
      <c r="G343">
        <v>84.45</v>
      </c>
      <c r="H343">
        <v>14525.4</v>
      </c>
      <c r="I343" t="s">
        <v>28</v>
      </c>
      <c r="J343" t="s">
        <v>47</v>
      </c>
      <c r="K343" t="s">
        <v>152</v>
      </c>
    </row>
    <row r="344" spans="1:11" x14ac:dyDescent="0.3">
      <c r="A344" s="9">
        <v>45783</v>
      </c>
      <c r="B344" t="s">
        <v>20</v>
      </c>
      <c r="C344" t="s">
        <v>19</v>
      </c>
      <c r="D344" t="s">
        <v>52</v>
      </c>
      <c r="E344" t="s">
        <v>27</v>
      </c>
      <c r="F344">
        <v>106</v>
      </c>
      <c r="G344">
        <v>49.38</v>
      </c>
      <c r="H344">
        <v>5234.2800000000007</v>
      </c>
      <c r="I344" t="s">
        <v>15</v>
      </c>
      <c r="J344" t="s">
        <v>47</v>
      </c>
    </row>
    <row r="345" spans="1:11" x14ac:dyDescent="0.3">
      <c r="A345" s="9">
        <v>45784</v>
      </c>
      <c r="B345" t="s">
        <v>18</v>
      </c>
      <c r="C345" t="s">
        <v>19</v>
      </c>
      <c r="D345" t="s">
        <v>52</v>
      </c>
      <c r="E345" t="s">
        <v>27</v>
      </c>
      <c r="F345">
        <v>106</v>
      </c>
      <c r="G345">
        <v>47.84</v>
      </c>
      <c r="H345">
        <v>5071.04</v>
      </c>
      <c r="I345" t="s">
        <v>150</v>
      </c>
      <c r="J345" t="s">
        <v>16</v>
      </c>
    </row>
    <row r="346" spans="1:11" x14ac:dyDescent="0.3">
      <c r="A346" s="9">
        <v>45784</v>
      </c>
      <c r="B346" t="s">
        <v>18</v>
      </c>
      <c r="C346" t="s">
        <v>38</v>
      </c>
      <c r="D346" t="s">
        <v>13</v>
      </c>
      <c r="E346" t="s">
        <v>14</v>
      </c>
      <c r="F346">
        <v>62</v>
      </c>
      <c r="G346">
        <v>48.57</v>
      </c>
      <c r="H346">
        <v>3011.34</v>
      </c>
      <c r="I346" t="s">
        <v>150</v>
      </c>
      <c r="J346" t="s">
        <v>29</v>
      </c>
    </row>
    <row r="347" spans="1:11" x14ac:dyDescent="0.3">
      <c r="A347" s="9">
        <v>45785</v>
      </c>
      <c r="B347" t="s">
        <v>34</v>
      </c>
      <c r="C347" t="s">
        <v>38</v>
      </c>
      <c r="D347" t="s">
        <v>21</v>
      </c>
      <c r="E347" t="s">
        <v>22</v>
      </c>
      <c r="F347">
        <v>100</v>
      </c>
      <c r="G347">
        <v>9.5</v>
      </c>
      <c r="H347">
        <v>950</v>
      </c>
      <c r="I347" t="s">
        <v>150</v>
      </c>
      <c r="J347" t="s">
        <v>16</v>
      </c>
    </row>
    <row r="348" spans="1:11" x14ac:dyDescent="0.3">
      <c r="A348" s="9">
        <v>45785</v>
      </c>
      <c r="B348" t="s">
        <v>18</v>
      </c>
      <c r="C348" t="s">
        <v>38</v>
      </c>
      <c r="D348" t="s">
        <v>43</v>
      </c>
      <c r="E348" t="s">
        <v>44</v>
      </c>
      <c r="F348">
        <v>107</v>
      </c>
      <c r="G348">
        <v>124.39</v>
      </c>
      <c r="H348">
        <v>13309.73</v>
      </c>
      <c r="I348" t="s">
        <v>28</v>
      </c>
      <c r="J348" t="s">
        <v>16</v>
      </c>
    </row>
    <row r="349" spans="1:11" x14ac:dyDescent="0.3">
      <c r="A349" s="9">
        <v>45785</v>
      </c>
      <c r="B349" t="s">
        <v>56</v>
      </c>
      <c r="C349" t="s">
        <v>30</v>
      </c>
      <c r="D349" t="s">
        <v>13</v>
      </c>
      <c r="E349" t="s">
        <v>14</v>
      </c>
      <c r="F349">
        <v>139</v>
      </c>
      <c r="G349">
        <v>43.13</v>
      </c>
      <c r="H349">
        <v>5995.0700000000006</v>
      </c>
      <c r="I349" t="s">
        <v>150</v>
      </c>
      <c r="J349" t="s">
        <v>67</v>
      </c>
      <c r="K349" t="s">
        <v>146</v>
      </c>
    </row>
    <row r="350" spans="1:11" x14ac:dyDescent="0.3">
      <c r="A350" s="9">
        <v>45785</v>
      </c>
      <c r="B350" t="s">
        <v>53</v>
      </c>
      <c r="C350" t="s">
        <v>45</v>
      </c>
      <c r="D350" t="s">
        <v>60</v>
      </c>
      <c r="E350" t="s">
        <v>44</v>
      </c>
      <c r="F350">
        <v>102</v>
      </c>
      <c r="G350">
        <v>112.93</v>
      </c>
      <c r="H350">
        <v>11518.86</v>
      </c>
      <c r="I350" t="s">
        <v>15</v>
      </c>
      <c r="J350" t="s">
        <v>16</v>
      </c>
      <c r="K350" t="s">
        <v>146</v>
      </c>
    </row>
    <row r="351" spans="1:11" x14ac:dyDescent="0.3">
      <c r="A351" s="9">
        <v>45786</v>
      </c>
      <c r="B351" t="s">
        <v>34</v>
      </c>
      <c r="C351" t="s">
        <v>38</v>
      </c>
      <c r="D351" t="s">
        <v>31</v>
      </c>
      <c r="E351" t="s">
        <v>32</v>
      </c>
      <c r="F351">
        <v>133</v>
      </c>
      <c r="G351">
        <v>11.61</v>
      </c>
      <c r="H351">
        <v>1544.1299999999999</v>
      </c>
      <c r="I351" t="s">
        <v>28</v>
      </c>
      <c r="J351" t="s">
        <v>29</v>
      </c>
    </row>
    <row r="352" spans="1:11" x14ac:dyDescent="0.3">
      <c r="A352" s="9">
        <v>45786</v>
      </c>
      <c r="B352" t="s">
        <v>56</v>
      </c>
      <c r="C352" t="s">
        <v>38</v>
      </c>
      <c r="D352" t="s">
        <v>35</v>
      </c>
      <c r="E352" t="s">
        <v>32</v>
      </c>
      <c r="F352">
        <v>142</v>
      </c>
      <c r="G352">
        <v>15.02</v>
      </c>
      <c r="H352">
        <v>2132.84</v>
      </c>
      <c r="I352" t="s">
        <v>147</v>
      </c>
      <c r="J352" t="s">
        <v>16</v>
      </c>
    </row>
    <row r="353" spans="1:11" x14ac:dyDescent="0.3">
      <c r="A353" s="9">
        <v>45786</v>
      </c>
      <c r="B353" t="s">
        <v>25</v>
      </c>
      <c r="C353" t="s">
        <v>38</v>
      </c>
      <c r="D353" t="s">
        <v>48</v>
      </c>
      <c r="E353" t="s">
        <v>14</v>
      </c>
      <c r="F353">
        <v>133</v>
      </c>
      <c r="G353">
        <v>85.32</v>
      </c>
      <c r="H353">
        <v>11347.56</v>
      </c>
      <c r="I353" t="s">
        <v>37</v>
      </c>
      <c r="J353" t="s">
        <v>16</v>
      </c>
    </row>
    <row r="354" spans="1:11" x14ac:dyDescent="0.3">
      <c r="A354" s="9">
        <v>45786</v>
      </c>
      <c r="B354" t="s">
        <v>34</v>
      </c>
      <c r="C354" t="s">
        <v>12</v>
      </c>
      <c r="D354" t="s">
        <v>52</v>
      </c>
      <c r="E354" t="s">
        <v>27</v>
      </c>
      <c r="F354">
        <v>157</v>
      </c>
      <c r="G354">
        <v>51.67</v>
      </c>
      <c r="H354">
        <v>8112.1900000000005</v>
      </c>
      <c r="I354" t="s">
        <v>37</v>
      </c>
      <c r="J354" t="s">
        <v>16</v>
      </c>
    </row>
    <row r="355" spans="1:11" x14ac:dyDescent="0.3">
      <c r="A355" s="9">
        <v>45787</v>
      </c>
      <c r="B355" t="s">
        <v>34</v>
      </c>
      <c r="C355" t="s">
        <v>30</v>
      </c>
      <c r="D355" t="s">
        <v>31</v>
      </c>
      <c r="E355" t="s">
        <v>32</v>
      </c>
      <c r="F355">
        <v>195</v>
      </c>
      <c r="G355">
        <v>12.17</v>
      </c>
      <c r="H355">
        <v>2373.15</v>
      </c>
      <c r="I355" t="s">
        <v>147</v>
      </c>
      <c r="J355" t="s">
        <v>16</v>
      </c>
      <c r="K355" t="s">
        <v>151</v>
      </c>
    </row>
    <row r="356" spans="1:11" x14ac:dyDescent="0.3">
      <c r="A356" s="9">
        <v>45787</v>
      </c>
      <c r="B356" t="s">
        <v>11</v>
      </c>
      <c r="C356" t="s">
        <v>12</v>
      </c>
      <c r="D356" t="s">
        <v>58</v>
      </c>
      <c r="E356" t="s">
        <v>22</v>
      </c>
      <c r="F356">
        <v>135</v>
      </c>
      <c r="G356">
        <v>26.36</v>
      </c>
      <c r="H356">
        <v>3558.6</v>
      </c>
      <c r="I356" t="s">
        <v>150</v>
      </c>
      <c r="J356" t="s">
        <v>16</v>
      </c>
    </row>
    <row r="357" spans="1:11" x14ac:dyDescent="0.3">
      <c r="A357" s="9">
        <v>45787</v>
      </c>
      <c r="B357" t="s">
        <v>11</v>
      </c>
      <c r="C357" t="s">
        <v>12</v>
      </c>
      <c r="D357" t="s">
        <v>49</v>
      </c>
      <c r="E357" t="s">
        <v>50</v>
      </c>
      <c r="F357">
        <v>52</v>
      </c>
      <c r="G357">
        <v>19.97</v>
      </c>
      <c r="H357">
        <v>1038.44</v>
      </c>
      <c r="I357" t="s">
        <v>28</v>
      </c>
      <c r="J357" t="s">
        <v>16</v>
      </c>
      <c r="K357" t="s">
        <v>149</v>
      </c>
    </row>
    <row r="358" spans="1:11" x14ac:dyDescent="0.3">
      <c r="A358" s="9">
        <v>45787</v>
      </c>
      <c r="B358" t="s">
        <v>25</v>
      </c>
      <c r="C358" t="s">
        <v>12</v>
      </c>
      <c r="D358" t="s">
        <v>60</v>
      </c>
      <c r="E358" t="s">
        <v>44</v>
      </c>
      <c r="F358">
        <v>145</v>
      </c>
      <c r="G358">
        <v>121.02</v>
      </c>
      <c r="H358">
        <v>17547.899999999998</v>
      </c>
      <c r="I358" t="s">
        <v>37</v>
      </c>
      <c r="J358" t="s">
        <v>47</v>
      </c>
    </row>
    <row r="359" spans="1:11" x14ac:dyDescent="0.3">
      <c r="A359" s="9">
        <v>45788</v>
      </c>
      <c r="B359" t="s">
        <v>53</v>
      </c>
      <c r="C359" t="s">
        <v>45</v>
      </c>
      <c r="D359" t="s">
        <v>52</v>
      </c>
      <c r="E359" t="s">
        <v>27</v>
      </c>
      <c r="F359">
        <v>59</v>
      </c>
      <c r="G359">
        <v>46.84</v>
      </c>
      <c r="H359">
        <v>2763.5600000000004</v>
      </c>
      <c r="I359" t="s">
        <v>37</v>
      </c>
      <c r="J359" t="s">
        <v>16</v>
      </c>
    </row>
    <row r="360" spans="1:11" x14ac:dyDescent="0.3">
      <c r="A360" s="9">
        <v>45788</v>
      </c>
      <c r="B360" t="s">
        <v>11</v>
      </c>
      <c r="C360" t="s">
        <v>12</v>
      </c>
      <c r="D360" t="s">
        <v>60</v>
      </c>
      <c r="E360" t="s">
        <v>44</v>
      </c>
      <c r="F360">
        <v>85</v>
      </c>
      <c r="G360">
        <v>114.1</v>
      </c>
      <c r="H360">
        <v>9698.5</v>
      </c>
      <c r="I360" t="s">
        <v>15</v>
      </c>
      <c r="J360" t="s">
        <v>16</v>
      </c>
      <c r="K360" t="s">
        <v>152</v>
      </c>
    </row>
    <row r="361" spans="1:11" x14ac:dyDescent="0.3">
      <c r="A361" s="9">
        <v>45789</v>
      </c>
      <c r="B361" t="s">
        <v>25</v>
      </c>
      <c r="C361" t="s">
        <v>19</v>
      </c>
      <c r="D361" t="s">
        <v>21</v>
      </c>
      <c r="E361" t="s">
        <v>22</v>
      </c>
      <c r="F361">
        <v>91</v>
      </c>
      <c r="G361">
        <v>10.78</v>
      </c>
      <c r="H361">
        <v>980.9799999999999</v>
      </c>
      <c r="I361" t="s">
        <v>147</v>
      </c>
      <c r="J361" t="s">
        <v>16</v>
      </c>
      <c r="K361" t="s">
        <v>146</v>
      </c>
    </row>
    <row r="362" spans="1:11" x14ac:dyDescent="0.3">
      <c r="A362" s="9">
        <v>45790</v>
      </c>
      <c r="B362" t="s">
        <v>11</v>
      </c>
      <c r="C362" t="s">
        <v>30</v>
      </c>
      <c r="D362" t="s">
        <v>35</v>
      </c>
      <c r="E362" t="s">
        <v>32</v>
      </c>
      <c r="F362">
        <v>67</v>
      </c>
      <c r="G362">
        <v>12.93</v>
      </c>
      <c r="H362">
        <v>866.31</v>
      </c>
      <c r="I362" t="s">
        <v>15</v>
      </c>
      <c r="J362" t="s">
        <v>16</v>
      </c>
    </row>
    <row r="363" spans="1:11" x14ac:dyDescent="0.3">
      <c r="A363" s="9">
        <v>45790</v>
      </c>
      <c r="B363" t="s">
        <v>20</v>
      </c>
      <c r="C363" t="s">
        <v>45</v>
      </c>
      <c r="D363" t="s">
        <v>48</v>
      </c>
      <c r="E363" t="s">
        <v>14</v>
      </c>
      <c r="F363">
        <v>179</v>
      </c>
      <c r="G363">
        <v>83.32</v>
      </c>
      <c r="H363">
        <v>14914.279999999999</v>
      </c>
      <c r="I363" t="s">
        <v>147</v>
      </c>
      <c r="J363" t="s">
        <v>47</v>
      </c>
      <c r="K363" t="s">
        <v>148</v>
      </c>
    </row>
    <row r="364" spans="1:11" x14ac:dyDescent="0.3">
      <c r="A364" s="9">
        <v>45790</v>
      </c>
      <c r="B364" t="s">
        <v>56</v>
      </c>
      <c r="C364" t="s">
        <v>38</v>
      </c>
      <c r="D364" t="s">
        <v>31</v>
      </c>
      <c r="E364" t="s">
        <v>32</v>
      </c>
      <c r="F364">
        <v>122</v>
      </c>
      <c r="G364">
        <v>11.62</v>
      </c>
      <c r="H364">
        <v>1417.6399999999999</v>
      </c>
      <c r="I364" t="s">
        <v>37</v>
      </c>
      <c r="J364" t="s">
        <v>29</v>
      </c>
      <c r="K364" t="s">
        <v>152</v>
      </c>
    </row>
    <row r="365" spans="1:11" x14ac:dyDescent="0.3">
      <c r="A365" s="9">
        <v>45791</v>
      </c>
      <c r="B365" t="s">
        <v>53</v>
      </c>
      <c r="C365" t="s">
        <v>12</v>
      </c>
      <c r="D365" t="s">
        <v>58</v>
      </c>
      <c r="E365" t="s">
        <v>22</v>
      </c>
      <c r="F365">
        <v>196</v>
      </c>
      <c r="G365">
        <v>24.38</v>
      </c>
      <c r="H365">
        <v>4778.4799999999996</v>
      </c>
      <c r="I365" t="s">
        <v>37</v>
      </c>
      <c r="J365" t="s">
        <v>47</v>
      </c>
    </row>
    <row r="366" spans="1:11" x14ac:dyDescent="0.3">
      <c r="A366" s="9">
        <v>45791</v>
      </c>
      <c r="B366" t="s">
        <v>53</v>
      </c>
      <c r="C366" t="s">
        <v>45</v>
      </c>
      <c r="D366" t="s">
        <v>60</v>
      </c>
      <c r="E366" t="s">
        <v>44</v>
      </c>
      <c r="F366">
        <v>106</v>
      </c>
      <c r="G366">
        <v>123.61</v>
      </c>
      <c r="H366">
        <v>13102.66</v>
      </c>
      <c r="I366" t="s">
        <v>147</v>
      </c>
      <c r="J366" t="s">
        <v>16</v>
      </c>
      <c r="K366" t="s">
        <v>148</v>
      </c>
    </row>
    <row r="367" spans="1:11" x14ac:dyDescent="0.3">
      <c r="A367" s="9">
        <v>45791</v>
      </c>
      <c r="B367" t="s">
        <v>11</v>
      </c>
      <c r="C367" t="s">
        <v>12</v>
      </c>
      <c r="D367" t="s">
        <v>43</v>
      </c>
      <c r="E367" t="s">
        <v>44</v>
      </c>
      <c r="F367">
        <v>57</v>
      </c>
      <c r="G367">
        <v>122.2</v>
      </c>
      <c r="H367">
        <v>6965.4000000000005</v>
      </c>
      <c r="I367" t="s">
        <v>15</v>
      </c>
      <c r="J367" t="s">
        <v>16</v>
      </c>
    </row>
    <row r="368" spans="1:11" x14ac:dyDescent="0.3">
      <c r="A368" s="9">
        <v>45791</v>
      </c>
      <c r="B368" t="s">
        <v>56</v>
      </c>
      <c r="C368" t="s">
        <v>19</v>
      </c>
      <c r="D368" t="s">
        <v>13</v>
      </c>
      <c r="E368" t="s">
        <v>14</v>
      </c>
      <c r="F368">
        <v>184</v>
      </c>
      <c r="G368">
        <v>42.35</v>
      </c>
      <c r="H368">
        <v>7792.4000000000005</v>
      </c>
      <c r="I368" t="s">
        <v>147</v>
      </c>
      <c r="J368" t="s">
        <v>16</v>
      </c>
    </row>
    <row r="369" spans="1:11" x14ac:dyDescent="0.3">
      <c r="A369" s="9">
        <v>45792</v>
      </c>
      <c r="B369" t="s">
        <v>18</v>
      </c>
      <c r="C369" t="s">
        <v>12</v>
      </c>
      <c r="D369" t="s">
        <v>49</v>
      </c>
      <c r="E369" t="s">
        <v>50</v>
      </c>
      <c r="F369">
        <v>157</v>
      </c>
      <c r="G369">
        <v>21.51</v>
      </c>
      <c r="H369">
        <v>3377.07</v>
      </c>
      <c r="I369" t="s">
        <v>147</v>
      </c>
      <c r="J369" t="s">
        <v>47</v>
      </c>
      <c r="K369" t="s">
        <v>152</v>
      </c>
    </row>
    <row r="370" spans="1:11" x14ac:dyDescent="0.3">
      <c r="A370" s="9">
        <v>45792</v>
      </c>
      <c r="B370" t="s">
        <v>18</v>
      </c>
      <c r="C370" t="s">
        <v>45</v>
      </c>
      <c r="D370" t="s">
        <v>21</v>
      </c>
      <c r="E370" t="s">
        <v>22</v>
      </c>
      <c r="F370">
        <v>50</v>
      </c>
      <c r="G370">
        <v>9.81</v>
      </c>
      <c r="H370">
        <v>490.5</v>
      </c>
      <c r="I370" t="s">
        <v>37</v>
      </c>
      <c r="J370" t="s">
        <v>47</v>
      </c>
    </row>
    <row r="371" spans="1:11" x14ac:dyDescent="0.3">
      <c r="A371" s="9">
        <v>45792</v>
      </c>
      <c r="B371" t="s">
        <v>34</v>
      </c>
      <c r="C371" t="s">
        <v>12</v>
      </c>
      <c r="D371" t="s">
        <v>52</v>
      </c>
      <c r="E371" t="s">
        <v>27</v>
      </c>
      <c r="F371">
        <v>30</v>
      </c>
      <c r="G371">
        <v>48.85</v>
      </c>
      <c r="H371">
        <v>1465.5</v>
      </c>
      <c r="I371" t="s">
        <v>147</v>
      </c>
      <c r="J371" t="s">
        <v>16</v>
      </c>
      <c r="K371" t="s">
        <v>148</v>
      </c>
    </row>
    <row r="372" spans="1:11" x14ac:dyDescent="0.3">
      <c r="A372" s="9">
        <v>45793</v>
      </c>
      <c r="B372" t="s">
        <v>20</v>
      </c>
      <c r="C372" t="s">
        <v>12</v>
      </c>
      <c r="D372" t="s">
        <v>13</v>
      </c>
      <c r="E372" t="s">
        <v>14</v>
      </c>
      <c r="F372">
        <v>126</v>
      </c>
      <c r="G372">
        <v>44.06</v>
      </c>
      <c r="H372">
        <v>5551.56</v>
      </c>
      <c r="I372" t="s">
        <v>37</v>
      </c>
      <c r="J372" t="s">
        <v>47</v>
      </c>
    </row>
    <row r="373" spans="1:11" x14ac:dyDescent="0.3">
      <c r="A373" s="9">
        <v>45794</v>
      </c>
      <c r="B373" t="s">
        <v>56</v>
      </c>
      <c r="C373" t="s">
        <v>38</v>
      </c>
      <c r="D373" t="s">
        <v>21</v>
      </c>
      <c r="E373" t="s">
        <v>22</v>
      </c>
      <c r="F373">
        <v>109</v>
      </c>
      <c r="G373">
        <v>10.54</v>
      </c>
      <c r="H373">
        <v>1148.8599999999999</v>
      </c>
      <c r="I373" t="s">
        <v>147</v>
      </c>
      <c r="J373" t="s">
        <v>47</v>
      </c>
      <c r="K373" t="s">
        <v>151</v>
      </c>
    </row>
    <row r="374" spans="1:11" x14ac:dyDescent="0.3">
      <c r="A374" s="9">
        <v>45795</v>
      </c>
      <c r="B374" t="s">
        <v>53</v>
      </c>
      <c r="C374" t="s">
        <v>12</v>
      </c>
      <c r="D374" t="s">
        <v>54</v>
      </c>
      <c r="E374" t="s">
        <v>44</v>
      </c>
      <c r="F374">
        <v>151</v>
      </c>
      <c r="G374">
        <v>112.26</v>
      </c>
      <c r="H374">
        <v>16951.260000000002</v>
      </c>
      <c r="I374" t="s">
        <v>150</v>
      </c>
      <c r="J374" t="s">
        <v>16</v>
      </c>
    </row>
    <row r="375" spans="1:11" x14ac:dyDescent="0.3">
      <c r="A375" s="9">
        <v>45795</v>
      </c>
      <c r="B375" t="s">
        <v>20</v>
      </c>
      <c r="C375" t="s">
        <v>45</v>
      </c>
      <c r="D375" t="s">
        <v>31</v>
      </c>
      <c r="E375" t="s">
        <v>32</v>
      </c>
      <c r="F375">
        <v>43</v>
      </c>
      <c r="G375">
        <v>12.73</v>
      </c>
      <c r="H375">
        <v>547.39</v>
      </c>
      <c r="I375" t="s">
        <v>147</v>
      </c>
      <c r="J375" t="s">
        <v>16</v>
      </c>
      <c r="K375" t="s">
        <v>148</v>
      </c>
    </row>
    <row r="376" spans="1:11" x14ac:dyDescent="0.3">
      <c r="A376" s="9">
        <v>45795</v>
      </c>
      <c r="B376" t="s">
        <v>56</v>
      </c>
      <c r="C376" t="s">
        <v>30</v>
      </c>
      <c r="D376" t="s">
        <v>13</v>
      </c>
      <c r="E376" t="s">
        <v>14</v>
      </c>
      <c r="F376">
        <v>44</v>
      </c>
      <c r="G376">
        <v>46.64</v>
      </c>
      <c r="H376">
        <v>2052.16</v>
      </c>
      <c r="I376" t="s">
        <v>147</v>
      </c>
      <c r="J376" t="s">
        <v>29</v>
      </c>
      <c r="K376" t="s">
        <v>151</v>
      </c>
    </row>
    <row r="377" spans="1:11" x14ac:dyDescent="0.3">
      <c r="A377" s="9">
        <v>45796</v>
      </c>
      <c r="B377" t="s">
        <v>56</v>
      </c>
      <c r="C377" t="s">
        <v>30</v>
      </c>
      <c r="D377" t="s">
        <v>26</v>
      </c>
      <c r="E377" t="s">
        <v>27</v>
      </c>
      <c r="F377">
        <v>18</v>
      </c>
      <c r="G377">
        <v>52.18</v>
      </c>
      <c r="H377">
        <v>939.24</v>
      </c>
      <c r="I377" t="s">
        <v>28</v>
      </c>
      <c r="J377" t="s">
        <v>29</v>
      </c>
      <c r="K377" t="s">
        <v>146</v>
      </c>
    </row>
    <row r="378" spans="1:11" x14ac:dyDescent="0.3">
      <c r="A378" s="9">
        <v>45796</v>
      </c>
      <c r="B378" t="s">
        <v>20</v>
      </c>
      <c r="C378" t="s">
        <v>30</v>
      </c>
      <c r="D378" t="s">
        <v>43</v>
      </c>
      <c r="E378" t="s">
        <v>44</v>
      </c>
      <c r="F378">
        <v>138</v>
      </c>
      <c r="G378">
        <v>124.47</v>
      </c>
      <c r="H378">
        <v>17176.86</v>
      </c>
      <c r="I378" t="s">
        <v>37</v>
      </c>
      <c r="J378" t="s">
        <v>47</v>
      </c>
      <c r="K378" t="s">
        <v>151</v>
      </c>
    </row>
    <row r="379" spans="1:11" x14ac:dyDescent="0.3">
      <c r="A379" s="9">
        <v>45796</v>
      </c>
      <c r="B379" t="s">
        <v>53</v>
      </c>
      <c r="C379" t="s">
        <v>12</v>
      </c>
      <c r="D379" t="s">
        <v>39</v>
      </c>
      <c r="E379" t="s">
        <v>40</v>
      </c>
      <c r="F379">
        <v>158</v>
      </c>
      <c r="G379">
        <v>56.79</v>
      </c>
      <c r="H379">
        <v>8972.82</v>
      </c>
      <c r="I379" t="s">
        <v>150</v>
      </c>
      <c r="J379" t="s">
        <v>16</v>
      </c>
      <c r="K379" t="s">
        <v>149</v>
      </c>
    </row>
    <row r="380" spans="1:11" x14ac:dyDescent="0.3">
      <c r="A380" s="9">
        <v>45797</v>
      </c>
      <c r="B380" t="s">
        <v>18</v>
      </c>
      <c r="C380" t="s">
        <v>12</v>
      </c>
      <c r="D380" t="s">
        <v>48</v>
      </c>
      <c r="E380" t="s">
        <v>14</v>
      </c>
      <c r="F380">
        <v>58</v>
      </c>
      <c r="G380">
        <v>81.45</v>
      </c>
      <c r="H380">
        <v>4724.1000000000004</v>
      </c>
      <c r="I380" t="s">
        <v>28</v>
      </c>
      <c r="J380" t="s">
        <v>29</v>
      </c>
      <c r="K380" t="s">
        <v>149</v>
      </c>
    </row>
    <row r="381" spans="1:11" x14ac:dyDescent="0.3">
      <c r="A381" s="9">
        <v>45798</v>
      </c>
      <c r="B381" t="s">
        <v>18</v>
      </c>
      <c r="C381" t="s">
        <v>30</v>
      </c>
      <c r="D381" t="s">
        <v>59</v>
      </c>
      <c r="E381" t="s">
        <v>50</v>
      </c>
      <c r="F381">
        <v>83</v>
      </c>
      <c r="G381">
        <v>28.18</v>
      </c>
      <c r="H381">
        <v>2338.94</v>
      </c>
      <c r="I381" t="s">
        <v>147</v>
      </c>
      <c r="J381" t="s">
        <v>47</v>
      </c>
      <c r="K381" t="s">
        <v>146</v>
      </c>
    </row>
    <row r="382" spans="1:11" x14ac:dyDescent="0.3">
      <c r="A382" s="9">
        <v>45798</v>
      </c>
      <c r="B382" t="s">
        <v>11</v>
      </c>
      <c r="C382" t="s">
        <v>38</v>
      </c>
      <c r="D382" t="s">
        <v>39</v>
      </c>
      <c r="E382" t="s">
        <v>40</v>
      </c>
      <c r="F382">
        <v>148</v>
      </c>
      <c r="G382">
        <v>55.86</v>
      </c>
      <c r="H382">
        <v>8267.2800000000007</v>
      </c>
      <c r="I382" t="s">
        <v>150</v>
      </c>
      <c r="J382" t="s">
        <v>47</v>
      </c>
      <c r="K382" t="s">
        <v>152</v>
      </c>
    </row>
    <row r="383" spans="1:11" x14ac:dyDescent="0.3">
      <c r="A383" s="9">
        <v>45798</v>
      </c>
      <c r="B383" t="s">
        <v>36</v>
      </c>
      <c r="C383" t="s">
        <v>19</v>
      </c>
      <c r="D383" t="s">
        <v>13</v>
      </c>
      <c r="E383" t="s">
        <v>14</v>
      </c>
      <c r="F383">
        <v>172</v>
      </c>
      <c r="G383">
        <v>46.63</v>
      </c>
      <c r="H383">
        <v>8020.3600000000006</v>
      </c>
      <c r="I383" t="s">
        <v>150</v>
      </c>
      <c r="J383" t="s">
        <v>16</v>
      </c>
      <c r="K383" t="s">
        <v>148</v>
      </c>
    </row>
    <row r="384" spans="1:11" x14ac:dyDescent="0.3">
      <c r="A384" s="9">
        <v>45798</v>
      </c>
      <c r="B384" t="s">
        <v>34</v>
      </c>
      <c r="C384" t="s">
        <v>45</v>
      </c>
      <c r="D384" t="s">
        <v>58</v>
      </c>
      <c r="E384" t="s">
        <v>22</v>
      </c>
      <c r="F384">
        <v>152</v>
      </c>
      <c r="G384">
        <v>23.83</v>
      </c>
      <c r="H384">
        <v>3622.16</v>
      </c>
      <c r="I384" t="s">
        <v>150</v>
      </c>
      <c r="J384" t="s">
        <v>67</v>
      </c>
      <c r="K384" t="s">
        <v>148</v>
      </c>
    </row>
    <row r="385" spans="1:11" x14ac:dyDescent="0.3">
      <c r="A385" s="9">
        <v>45799</v>
      </c>
      <c r="B385" t="s">
        <v>36</v>
      </c>
      <c r="C385" t="s">
        <v>19</v>
      </c>
      <c r="D385" t="s">
        <v>43</v>
      </c>
      <c r="E385" t="s">
        <v>44</v>
      </c>
      <c r="F385">
        <v>76</v>
      </c>
      <c r="G385">
        <v>133.93</v>
      </c>
      <c r="H385">
        <v>10178.68</v>
      </c>
      <c r="I385" t="s">
        <v>37</v>
      </c>
      <c r="J385" t="s">
        <v>16</v>
      </c>
    </row>
    <row r="386" spans="1:11" x14ac:dyDescent="0.3">
      <c r="A386" s="9">
        <v>45800</v>
      </c>
      <c r="B386" t="s">
        <v>20</v>
      </c>
      <c r="C386" t="s">
        <v>12</v>
      </c>
      <c r="D386" t="s">
        <v>48</v>
      </c>
      <c r="E386" t="s">
        <v>14</v>
      </c>
      <c r="F386">
        <v>110</v>
      </c>
      <c r="G386">
        <v>87.44</v>
      </c>
      <c r="H386">
        <v>9618.4</v>
      </c>
      <c r="I386" t="s">
        <v>15</v>
      </c>
      <c r="J386" t="s">
        <v>16</v>
      </c>
    </row>
    <row r="387" spans="1:11" x14ac:dyDescent="0.3">
      <c r="A387" s="9">
        <v>45800</v>
      </c>
      <c r="B387" t="s">
        <v>56</v>
      </c>
      <c r="C387" t="s">
        <v>30</v>
      </c>
      <c r="D387" t="s">
        <v>48</v>
      </c>
      <c r="E387" t="s">
        <v>14</v>
      </c>
      <c r="F387">
        <v>136</v>
      </c>
      <c r="G387">
        <v>82.06</v>
      </c>
      <c r="H387">
        <v>11160.16</v>
      </c>
      <c r="I387" t="s">
        <v>37</v>
      </c>
      <c r="J387" t="s">
        <v>29</v>
      </c>
      <c r="K387" t="s">
        <v>149</v>
      </c>
    </row>
    <row r="388" spans="1:11" x14ac:dyDescent="0.3">
      <c r="A388" s="9">
        <v>45801</v>
      </c>
      <c r="B388" t="s">
        <v>34</v>
      </c>
      <c r="C388" t="s">
        <v>19</v>
      </c>
      <c r="D388" t="s">
        <v>54</v>
      </c>
      <c r="E388" t="s">
        <v>44</v>
      </c>
      <c r="F388">
        <v>156</v>
      </c>
      <c r="G388">
        <v>107.88</v>
      </c>
      <c r="H388">
        <v>16829.28</v>
      </c>
      <c r="I388" t="s">
        <v>150</v>
      </c>
      <c r="J388" t="s">
        <v>16</v>
      </c>
    </row>
    <row r="389" spans="1:11" x14ac:dyDescent="0.3">
      <c r="A389" s="9">
        <v>45802</v>
      </c>
      <c r="B389" t="s">
        <v>36</v>
      </c>
      <c r="C389" t="s">
        <v>45</v>
      </c>
      <c r="D389" t="s">
        <v>52</v>
      </c>
      <c r="E389" t="s">
        <v>27</v>
      </c>
      <c r="F389">
        <v>14</v>
      </c>
      <c r="G389">
        <v>49.42</v>
      </c>
      <c r="H389">
        <v>691.88</v>
      </c>
      <c r="I389" t="s">
        <v>150</v>
      </c>
      <c r="J389" t="s">
        <v>16</v>
      </c>
    </row>
    <row r="390" spans="1:11" x14ac:dyDescent="0.3">
      <c r="A390" s="9">
        <v>45803</v>
      </c>
      <c r="B390" t="s">
        <v>34</v>
      </c>
      <c r="C390" t="s">
        <v>12</v>
      </c>
      <c r="D390" t="s">
        <v>52</v>
      </c>
      <c r="E390" t="s">
        <v>27</v>
      </c>
      <c r="F390">
        <v>10</v>
      </c>
      <c r="G390">
        <v>45.77</v>
      </c>
      <c r="H390">
        <v>457.70000000000005</v>
      </c>
      <c r="I390" t="s">
        <v>147</v>
      </c>
      <c r="J390" t="s">
        <v>16</v>
      </c>
    </row>
    <row r="391" spans="1:11" x14ac:dyDescent="0.3">
      <c r="A391" s="9">
        <v>45803</v>
      </c>
      <c r="B391" t="s">
        <v>20</v>
      </c>
      <c r="C391" t="s">
        <v>12</v>
      </c>
      <c r="D391" t="s">
        <v>52</v>
      </c>
      <c r="E391" t="s">
        <v>27</v>
      </c>
      <c r="F391">
        <v>177</v>
      </c>
      <c r="G391">
        <v>46.75</v>
      </c>
      <c r="H391">
        <v>8274.75</v>
      </c>
      <c r="I391" t="s">
        <v>37</v>
      </c>
      <c r="J391" t="s">
        <v>29</v>
      </c>
      <c r="K391" t="s">
        <v>151</v>
      </c>
    </row>
    <row r="392" spans="1:11" x14ac:dyDescent="0.3">
      <c r="A392" s="9">
        <v>45803</v>
      </c>
      <c r="B392" t="s">
        <v>36</v>
      </c>
      <c r="C392" t="s">
        <v>45</v>
      </c>
      <c r="D392" t="s">
        <v>31</v>
      </c>
      <c r="E392" t="s">
        <v>32</v>
      </c>
      <c r="F392">
        <v>162</v>
      </c>
      <c r="G392">
        <v>11.66</v>
      </c>
      <c r="H392">
        <v>1888.92</v>
      </c>
      <c r="I392" t="s">
        <v>37</v>
      </c>
      <c r="J392" t="s">
        <v>16</v>
      </c>
    </row>
    <row r="393" spans="1:11" x14ac:dyDescent="0.3">
      <c r="A393" s="9">
        <v>45803</v>
      </c>
      <c r="B393" t="s">
        <v>36</v>
      </c>
      <c r="C393" t="s">
        <v>45</v>
      </c>
      <c r="D393" t="s">
        <v>39</v>
      </c>
      <c r="E393" t="s">
        <v>40</v>
      </c>
      <c r="F393">
        <v>70</v>
      </c>
      <c r="G393">
        <v>56.49</v>
      </c>
      <c r="H393">
        <v>3954.3</v>
      </c>
      <c r="I393" t="s">
        <v>147</v>
      </c>
      <c r="J393" t="s">
        <v>29</v>
      </c>
      <c r="K393" t="s">
        <v>151</v>
      </c>
    </row>
    <row r="394" spans="1:11" x14ac:dyDescent="0.3">
      <c r="A394" s="9">
        <v>45803</v>
      </c>
      <c r="B394" t="s">
        <v>36</v>
      </c>
      <c r="C394" t="s">
        <v>19</v>
      </c>
      <c r="D394" t="s">
        <v>58</v>
      </c>
      <c r="E394" t="s">
        <v>22</v>
      </c>
      <c r="F394">
        <v>87</v>
      </c>
      <c r="G394">
        <v>25.53</v>
      </c>
      <c r="H394">
        <v>2221.11</v>
      </c>
      <c r="I394" t="s">
        <v>150</v>
      </c>
      <c r="J394" t="s">
        <v>47</v>
      </c>
      <c r="K394" t="s">
        <v>146</v>
      </c>
    </row>
    <row r="395" spans="1:11" x14ac:dyDescent="0.3">
      <c r="A395" s="9">
        <v>45803</v>
      </c>
      <c r="B395" t="s">
        <v>53</v>
      </c>
      <c r="C395" t="s">
        <v>30</v>
      </c>
      <c r="D395" t="s">
        <v>39</v>
      </c>
      <c r="E395" t="s">
        <v>40</v>
      </c>
      <c r="F395">
        <v>144</v>
      </c>
      <c r="G395">
        <v>58.7</v>
      </c>
      <c r="H395">
        <v>8452.8000000000011</v>
      </c>
      <c r="I395" t="s">
        <v>150</v>
      </c>
      <c r="J395" t="s">
        <v>16</v>
      </c>
      <c r="K395" t="s">
        <v>148</v>
      </c>
    </row>
    <row r="396" spans="1:11" x14ac:dyDescent="0.3">
      <c r="A396" s="9">
        <v>45804</v>
      </c>
      <c r="B396" t="s">
        <v>18</v>
      </c>
      <c r="C396" t="s">
        <v>12</v>
      </c>
      <c r="D396" t="s">
        <v>26</v>
      </c>
      <c r="E396" t="s">
        <v>27</v>
      </c>
      <c r="F396">
        <v>17</v>
      </c>
      <c r="G396">
        <v>54.35</v>
      </c>
      <c r="H396">
        <v>923.95</v>
      </c>
      <c r="I396" t="s">
        <v>147</v>
      </c>
      <c r="J396" t="s">
        <v>16</v>
      </c>
    </row>
    <row r="397" spans="1:11" x14ac:dyDescent="0.3">
      <c r="A397" s="9">
        <v>45804</v>
      </c>
      <c r="B397" t="s">
        <v>11</v>
      </c>
      <c r="C397" t="s">
        <v>38</v>
      </c>
      <c r="D397" t="s">
        <v>54</v>
      </c>
      <c r="E397" t="s">
        <v>44</v>
      </c>
      <c r="F397">
        <v>140</v>
      </c>
      <c r="G397">
        <v>113.93</v>
      </c>
      <c r="H397">
        <v>15950.2</v>
      </c>
      <c r="I397" t="s">
        <v>15</v>
      </c>
      <c r="J397" t="s">
        <v>29</v>
      </c>
      <c r="K397" t="s">
        <v>146</v>
      </c>
    </row>
    <row r="398" spans="1:11" x14ac:dyDescent="0.3">
      <c r="A398" s="9">
        <v>45804</v>
      </c>
      <c r="B398" t="s">
        <v>25</v>
      </c>
      <c r="C398" t="s">
        <v>45</v>
      </c>
      <c r="D398" t="s">
        <v>58</v>
      </c>
      <c r="E398" t="s">
        <v>22</v>
      </c>
      <c r="F398">
        <v>68</v>
      </c>
      <c r="G398">
        <v>25.88</v>
      </c>
      <c r="H398">
        <v>1759.84</v>
      </c>
      <c r="I398" t="s">
        <v>28</v>
      </c>
      <c r="J398" t="s">
        <v>29</v>
      </c>
    </row>
    <row r="399" spans="1:11" x14ac:dyDescent="0.3">
      <c r="A399" s="9">
        <v>45804</v>
      </c>
      <c r="B399" t="s">
        <v>25</v>
      </c>
      <c r="C399" t="s">
        <v>12</v>
      </c>
      <c r="D399" t="s">
        <v>31</v>
      </c>
      <c r="E399" t="s">
        <v>32</v>
      </c>
      <c r="F399">
        <v>164</v>
      </c>
      <c r="G399">
        <v>12.08</v>
      </c>
      <c r="H399">
        <v>1981.1200000000001</v>
      </c>
      <c r="I399" t="s">
        <v>150</v>
      </c>
      <c r="J399" t="s">
        <v>47</v>
      </c>
    </row>
    <row r="400" spans="1:11" x14ac:dyDescent="0.3">
      <c r="A400" s="9">
        <v>45804</v>
      </c>
      <c r="B400" t="s">
        <v>34</v>
      </c>
      <c r="C400" t="s">
        <v>12</v>
      </c>
      <c r="D400" t="s">
        <v>60</v>
      </c>
      <c r="E400" t="s">
        <v>44</v>
      </c>
      <c r="F400">
        <v>137</v>
      </c>
      <c r="G400">
        <v>122.69</v>
      </c>
      <c r="H400">
        <v>16808.53</v>
      </c>
      <c r="I400" t="s">
        <v>147</v>
      </c>
      <c r="J400" t="s">
        <v>16</v>
      </c>
      <c r="K400" t="s">
        <v>149</v>
      </c>
    </row>
    <row r="401" spans="1:11" x14ac:dyDescent="0.3">
      <c r="A401" s="9">
        <v>45805</v>
      </c>
      <c r="B401" t="s">
        <v>34</v>
      </c>
      <c r="C401" t="s">
        <v>12</v>
      </c>
      <c r="D401" t="s">
        <v>13</v>
      </c>
      <c r="E401" t="s">
        <v>14</v>
      </c>
      <c r="F401">
        <v>125</v>
      </c>
      <c r="G401">
        <v>47.12</v>
      </c>
      <c r="H401">
        <v>5890</v>
      </c>
      <c r="I401" t="s">
        <v>28</v>
      </c>
      <c r="J401" t="s">
        <v>16</v>
      </c>
      <c r="K401" t="s">
        <v>146</v>
      </c>
    </row>
    <row r="402" spans="1:11" x14ac:dyDescent="0.3">
      <c r="A402" s="9">
        <v>45805</v>
      </c>
      <c r="B402" t="s">
        <v>36</v>
      </c>
      <c r="C402" t="s">
        <v>12</v>
      </c>
      <c r="D402" t="s">
        <v>39</v>
      </c>
      <c r="E402" t="s">
        <v>40</v>
      </c>
      <c r="F402">
        <v>45</v>
      </c>
      <c r="G402">
        <v>56.4</v>
      </c>
      <c r="H402">
        <v>2538</v>
      </c>
      <c r="I402" t="s">
        <v>147</v>
      </c>
      <c r="J402" t="s">
        <v>16</v>
      </c>
      <c r="K402" t="s">
        <v>151</v>
      </c>
    </row>
    <row r="403" spans="1:11" x14ac:dyDescent="0.3">
      <c r="A403" s="9">
        <v>45806</v>
      </c>
      <c r="B403" t="s">
        <v>18</v>
      </c>
      <c r="C403" t="s">
        <v>45</v>
      </c>
      <c r="D403" t="s">
        <v>35</v>
      </c>
      <c r="E403" t="s">
        <v>32</v>
      </c>
      <c r="F403">
        <v>19</v>
      </c>
      <c r="G403">
        <v>14.1</v>
      </c>
      <c r="H403">
        <v>267.89999999999998</v>
      </c>
      <c r="I403" t="s">
        <v>37</v>
      </c>
      <c r="J403" t="s">
        <v>16</v>
      </c>
      <c r="K403" t="s">
        <v>148</v>
      </c>
    </row>
    <row r="404" spans="1:11" x14ac:dyDescent="0.3">
      <c r="A404" s="9">
        <v>45806</v>
      </c>
      <c r="B404" t="s">
        <v>20</v>
      </c>
      <c r="C404" t="s">
        <v>30</v>
      </c>
      <c r="D404" t="s">
        <v>60</v>
      </c>
      <c r="E404" t="s">
        <v>44</v>
      </c>
      <c r="F404">
        <v>198</v>
      </c>
      <c r="G404">
        <v>122.95</v>
      </c>
      <c r="H404">
        <v>24344.100000000002</v>
      </c>
      <c r="I404" t="s">
        <v>37</v>
      </c>
      <c r="J404" t="s">
        <v>16</v>
      </c>
    </row>
    <row r="405" spans="1:11" x14ac:dyDescent="0.3">
      <c r="A405" s="9">
        <v>45807</v>
      </c>
      <c r="B405" t="s">
        <v>11</v>
      </c>
      <c r="C405" t="s">
        <v>38</v>
      </c>
      <c r="D405" t="s">
        <v>52</v>
      </c>
      <c r="E405" t="s">
        <v>27</v>
      </c>
      <c r="F405">
        <v>171</v>
      </c>
      <c r="G405">
        <v>50.11</v>
      </c>
      <c r="H405">
        <v>8568.81</v>
      </c>
      <c r="I405" t="s">
        <v>37</v>
      </c>
      <c r="J405" t="s">
        <v>16</v>
      </c>
    </row>
    <row r="406" spans="1:11" x14ac:dyDescent="0.3">
      <c r="A406" s="9">
        <v>45807</v>
      </c>
      <c r="B406" t="s">
        <v>34</v>
      </c>
      <c r="C406" t="s">
        <v>30</v>
      </c>
      <c r="D406" t="s">
        <v>60</v>
      </c>
      <c r="E406" t="s">
        <v>44</v>
      </c>
      <c r="F406">
        <v>26</v>
      </c>
      <c r="G406">
        <v>122.8</v>
      </c>
      <c r="H406">
        <v>3192.7999999999997</v>
      </c>
      <c r="I406" t="s">
        <v>37</v>
      </c>
      <c r="J406" t="s">
        <v>16</v>
      </c>
    </row>
    <row r="407" spans="1:11" x14ac:dyDescent="0.3">
      <c r="A407" s="9">
        <v>45807</v>
      </c>
      <c r="B407" t="s">
        <v>56</v>
      </c>
      <c r="C407" t="s">
        <v>19</v>
      </c>
      <c r="D407" t="s">
        <v>13</v>
      </c>
      <c r="E407" t="s">
        <v>14</v>
      </c>
      <c r="F407">
        <v>34</v>
      </c>
      <c r="G407">
        <v>48.54</v>
      </c>
      <c r="H407">
        <v>1650.36</v>
      </c>
      <c r="I407" t="s">
        <v>15</v>
      </c>
      <c r="J407" t="s">
        <v>16</v>
      </c>
    </row>
    <row r="408" spans="1:11" x14ac:dyDescent="0.3">
      <c r="A408" s="9">
        <v>45807</v>
      </c>
      <c r="B408" t="s">
        <v>18</v>
      </c>
      <c r="C408" t="s">
        <v>38</v>
      </c>
      <c r="D408" t="s">
        <v>13</v>
      </c>
      <c r="E408" t="s">
        <v>14</v>
      </c>
      <c r="F408">
        <v>65</v>
      </c>
      <c r="G408">
        <v>42.66</v>
      </c>
      <c r="H408">
        <v>2772.8999999999996</v>
      </c>
      <c r="I408" t="s">
        <v>150</v>
      </c>
      <c r="J408" t="s">
        <v>16</v>
      </c>
      <c r="K408" t="s">
        <v>152</v>
      </c>
    </row>
    <row r="409" spans="1:11" x14ac:dyDescent="0.3">
      <c r="A409" s="9">
        <v>45808</v>
      </c>
      <c r="B409" t="s">
        <v>25</v>
      </c>
      <c r="C409" t="s">
        <v>12</v>
      </c>
      <c r="D409" t="s">
        <v>58</v>
      </c>
      <c r="E409" t="s">
        <v>22</v>
      </c>
      <c r="F409">
        <v>35</v>
      </c>
      <c r="G409">
        <v>25.46</v>
      </c>
      <c r="H409">
        <v>891.1</v>
      </c>
      <c r="I409" t="s">
        <v>150</v>
      </c>
      <c r="J409" t="s">
        <v>16</v>
      </c>
    </row>
    <row r="410" spans="1:11" x14ac:dyDescent="0.3">
      <c r="A410" s="9">
        <v>45809</v>
      </c>
      <c r="B410" t="s">
        <v>25</v>
      </c>
      <c r="C410" t="s">
        <v>19</v>
      </c>
      <c r="D410" t="s">
        <v>54</v>
      </c>
      <c r="E410" t="s">
        <v>44</v>
      </c>
      <c r="F410">
        <v>40</v>
      </c>
      <c r="G410">
        <v>114.53</v>
      </c>
      <c r="H410">
        <v>4581.2</v>
      </c>
      <c r="I410" t="s">
        <v>37</v>
      </c>
      <c r="J410" t="s">
        <v>16</v>
      </c>
    </row>
    <row r="411" spans="1:11" x14ac:dyDescent="0.3">
      <c r="A411" s="9">
        <v>45809</v>
      </c>
      <c r="B411" t="s">
        <v>36</v>
      </c>
      <c r="C411" t="s">
        <v>12</v>
      </c>
      <c r="D411" t="s">
        <v>35</v>
      </c>
      <c r="E411" t="s">
        <v>32</v>
      </c>
      <c r="F411">
        <v>183</v>
      </c>
      <c r="G411">
        <v>13.4</v>
      </c>
      <c r="H411">
        <v>2452.2000000000003</v>
      </c>
      <c r="I411" t="s">
        <v>37</v>
      </c>
      <c r="J411" t="s">
        <v>16</v>
      </c>
      <c r="K411" t="s">
        <v>149</v>
      </c>
    </row>
    <row r="412" spans="1:11" x14ac:dyDescent="0.3">
      <c r="A412" s="9">
        <v>45810</v>
      </c>
      <c r="B412" t="s">
        <v>20</v>
      </c>
      <c r="C412" t="s">
        <v>30</v>
      </c>
      <c r="D412" t="s">
        <v>59</v>
      </c>
      <c r="E412" t="s">
        <v>50</v>
      </c>
      <c r="F412">
        <v>81</v>
      </c>
      <c r="G412">
        <v>32.36</v>
      </c>
      <c r="H412">
        <v>2621.16</v>
      </c>
      <c r="I412" t="s">
        <v>150</v>
      </c>
      <c r="J412" t="s">
        <v>16</v>
      </c>
    </row>
    <row r="413" spans="1:11" x14ac:dyDescent="0.3">
      <c r="A413" s="9">
        <v>45810</v>
      </c>
      <c r="B413" t="s">
        <v>53</v>
      </c>
      <c r="C413" t="s">
        <v>38</v>
      </c>
      <c r="D413" t="s">
        <v>13</v>
      </c>
      <c r="E413" t="s">
        <v>14</v>
      </c>
      <c r="F413">
        <v>84</v>
      </c>
      <c r="G413">
        <v>42.47</v>
      </c>
      <c r="H413">
        <v>3567.48</v>
      </c>
      <c r="I413" t="s">
        <v>147</v>
      </c>
      <c r="J413" t="s">
        <v>16</v>
      </c>
      <c r="K413" t="s">
        <v>149</v>
      </c>
    </row>
    <row r="414" spans="1:11" x14ac:dyDescent="0.3">
      <c r="A414" s="9">
        <v>45810</v>
      </c>
      <c r="B414" t="s">
        <v>56</v>
      </c>
      <c r="C414" t="s">
        <v>19</v>
      </c>
      <c r="D414" t="s">
        <v>60</v>
      </c>
      <c r="E414" t="s">
        <v>44</v>
      </c>
      <c r="F414">
        <v>177</v>
      </c>
      <c r="G414">
        <v>119.1</v>
      </c>
      <c r="H414">
        <v>21080.7</v>
      </c>
      <c r="I414" t="s">
        <v>150</v>
      </c>
      <c r="J414" t="s">
        <v>47</v>
      </c>
      <c r="K414" t="s">
        <v>148</v>
      </c>
    </row>
    <row r="415" spans="1:11" x14ac:dyDescent="0.3">
      <c r="A415" s="9">
        <v>45811</v>
      </c>
      <c r="B415" t="s">
        <v>18</v>
      </c>
      <c r="C415" t="s">
        <v>19</v>
      </c>
      <c r="D415" t="s">
        <v>58</v>
      </c>
      <c r="E415" t="s">
        <v>22</v>
      </c>
      <c r="F415">
        <v>45</v>
      </c>
      <c r="G415">
        <v>25.62</v>
      </c>
      <c r="H415">
        <v>1152.9000000000001</v>
      </c>
      <c r="I415" t="s">
        <v>150</v>
      </c>
      <c r="J415" t="s">
        <v>29</v>
      </c>
    </row>
    <row r="416" spans="1:11" x14ac:dyDescent="0.3">
      <c r="A416" s="9">
        <v>45811</v>
      </c>
      <c r="B416" t="s">
        <v>25</v>
      </c>
      <c r="C416" t="s">
        <v>45</v>
      </c>
      <c r="D416" t="s">
        <v>48</v>
      </c>
      <c r="E416" t="s">
        <v>14</v>
      </c>
      <c r="F416">
        <v>90</v>
      </c>
      <c r="G416">
        <v>87.52</v>
      </c>
      <c r="H416">
        <v>7876.7999999999993</v>
      </c>
      <c r="I416" t="s">
        <v>15</v>
      </c>
      <c r="J416" t="s">
        <v>16</v>
      </c>
    </row>
    <row r="417" spans="1:11" x14ac:dyDescent="0.3">
      <c r="A417" s="9">
        <v>45812</v>
      </c>
      <c r="B417" t="s">
        <v>25</v>
      </c>
      <c r="C417" t="s">
        <v>30</v>
      </c>
      <c r="D417" t="s">
        <v>43</v>
      </c>
      <c r="E417" t="s">
        <v>44</v>
      </c>
      <c r="F417">
        <v>170</v>
      </c>
      <c r="G417">
        <v>135.29</v>
      </c>
      <c r="H417">
        <v>22999.3</v>
      </c>
      <c r="I417" t="s">
        <v>150</v>
      </c>
      <c r="J417" t="s">
        <v>47</v>
      </c>
      <c r="K417" t="s">
        <v>151</v>
      </c>
    </row>
    <row r="418" spans="1:11" x14ac:dyDescent="0.3">
      <c r="A418" s="9">
        <v>45812</v>
      </c>
      <c r="B418" t="s">
        <v>11</v>
      </c>
      <c r="C418" t="s">
        <v>45</v>
      </c>
      <c r="D418" t="s">
        <v>43</v>
      </c>
      <c r="E418" t="s">
        <v>44</v>
      </c>
      <c r="F418">
        <v>25</v>
      </c>
      <c r="G418">
        <v>136.47</v>
      </c>
      <c r="H418">
        <v>3411.75</v>
      </c>
      <c r="I418" t="s">
        <v>28</v>
      </c>
      <c r="J418" t="s">
        <v>16</v>
      </c>
    </row>
    <row r="419" spans="1:11" x14ac:dyDescent="0.3">
      <c r="A419" s="9">
        <v>45812</v>
      </c>
      <c r="B419" t="s">
        <v>36</v>
      </c>
      <c r="C419" t="s">
        <v>45</v>
      </c>
      <c r="D419" t="s">
        <v>35</v>
      </c>
      <c r="E419" t="s">
        <v>32</v>
      </c>
      <c r="F419">
        <v>173</v>
      </c>
      <c r="G419">
        <v>14.98</v>
      </c>
      <c r="H419">
        <v>2591.54</v>
      </c>
      <c r="I419" t="s">
        <v>150</v>
      </c>
      <c r="J419" t="s">
        <v>16</v>
      </c>
    </row>
    <row r="420" spans="1:11" x14ac:dyDescent="0.3">
      <c r="A420" s="9">
        <v>45812</v>
      </c>
      <c r="B420" t="s">
        <v>56</v>
      </c>
      <c r="C420" t="s">
        <v>12</v>
      </c>
      <c r="D420" t="s">
        <v>52</v>
      </c>
      <c r="E420" t="s">
        <v>27</v>
      </c>
      <c r="F420">
        <v>117</v>
      </c>
      <c r="G420">
        <v>44.49</v>
      </c>
      <c r="H420">
        <v>5205.33</v>
      </c>
      <c r="I420" t="s">
        <v>28</v>
      </c>
      <c r="J420" t="s">
        <v>29</v>
      </c>
    </row>
    <row r="421" spans="1:11" x14ac:dyDescent="0.3">
      <c r="A421" s="9">
        <v>45812</v>
      </c>
      <c r="B421" t="s">
        <v>25</v>
      </c>
      <c r="C421" t="s">
        <v>45</v>
      </c>
      <c r="D421" t="s">
        <v>43</v>
      </c>
      <c r="E421" t="s">
        <v>44</v>
      </c>
      <c r="F421">
        <v>157</v>
      </c>
      <c r="G421">
        <v>137.38</v>
      </c>
      <c r="H421">
        <v>21568.66</v>
      </c>
      <c r="I421" t="s">
        <v>28</v>
      </c>
      <c r="J421" t="s">
        <v>29</v>
      </c>
      <c r="K421" t="s">
        <v>146</v>
      </c>
    </row>
    <row r="422" spans="1:11" x14ac:dyDescent="0.3">
      <c r="A422" s="9">
        <v>45813</v>
      </c>
      <c r="B422" t="s">
        <v>36</v>
      </c>
      <c r="C422" t="s">
        <v>19</v>
      </c>
      <c r="D422" t="s">
        <v>52</v>
      </c>
      <c r="E422" t="s">
        <v>27</v>
      </c>
      <c r="F422">
        <v>157</v>
      </c>
      <c r="G422">
        <v>46.88</v>
      </c>
      <c r="H422">
        <v>7360.1600000000008</v>
      </c>
      <c r="I422" t="s">
        <v>147</v>
      </c>
      <c r="J422" t="s">
        <v>47</v>
      </c>
    </row>
    <row r="423" spans="1:11" x14ac:dyDescent="0.3">
      <c r="A423" s="9">
        <v>45814</v>
      </c>
      <c r="B423" t="s">
        <v>18</v>
      </c>
      <c r="C423" t="s">
        <v>19</v>
      </c>
      <c r="D423" t="s">
        <v>21</v>
      </c>
      <c r="E423" t="s">
        <v>22</v>
      </c>
      <c r="F423">
        <v>17</v>
      </c>
      <c r="G423">
        <v>10.61</v>
      </c>
      <c r="H423">
        <v>180.37</v>
      </c>
      <c r="I423" t="s">
        <v>28</v>
      </c>
      <c r="J423" t="s">
        <v>29</v>
      </c>
      <c r="K423" t="s">
        <v>149</v>
      </c>
    </row>
    <row r="424" spans="1:11" x14ac:dyDescent="0.3">
      <c r="A424" s="9">
        <v>45814</v>
      </c>
      <c r="B424" t="s">
        <v>34</v>
      </c>
      <c r="C424" t="s">
        <v>19</v>
      </c>
      <c r="D424" t="s">
        <v>58</v>
      </c>
      <c r="E424" t="s">
        <v>22</v>
      </c>
      <c r="F424">
        <v>200</v>
      </c>
      <c r="G424">
        <v>24.08</v>
      </c>
      <c r="H424">
        <v>4816</v>
      </c>
      <c r="I424" t="s">
        <v>150</v>
      </c>
      <c r="J424" t="s">
        <v>16</v>
      </c>
      <c r="K424" t="s">
        <v>146</v>
      </c>
    </row>
    <row r="425" spans="1:11" x14ac:dyDescent="0.3">
      <c r="A425" s="9">
        <v>45815</v>
      </c>
      <c r="B425" t="s">
        <v>18</v>
      </c>
      <c r="C425" t="s">
        <v>38</v>
      </c>
      <c r="D425" t="s">
        <v>49</v>
      </c>
      <c r="E425" t="s">
        <v>50</v>
      </c>
      <c r="F425">
        <v>50</v>
      </c>
      <c r="G425">
        <v>21.39</v>
      </c>
      <c r="H425">
        <v>1069.5</v>
      </c>
      <c r="I425" t="s">
        <v>150</v>
      </c>
      <c r="J425" t="s">
        <v>16</v>
      </c>
      <c r="K425" t="s">
        <v>146</v>
      </c>
    </row>
    <row r="426" spans="1:11" x14ac:dyDescent="0.3">
      <c r="A426" s="9">
        <v>45815</v>
      </c>
      <c r="B426" t="s">
        <v>20</v>
      </c>
      <c r="C426" t="s">
        <v>38</v>
      </c>
      <c r="D426" t="s">
        <v>43</v>
      </c>
      <c r="E426" t="s">
        <v>44</v>
      </c>
      <c r="F426">
        <v>132</v>
      </c>
      <c r="G426">
        <v>135.15</v>
      </c>
      <c r="H426">
        <v>17839.8</v>
      </c>
      <c r="I426" t="s">
        <v>37</v>
      </c>
      <c r="J426" t="s">
        <v>47</v>
      </c>
    </row>
    <row r="427" spans="1:11" x14ac:dyDescent="0.3">
      <c r="A427" s="9">
        <v>45815</v>
      </c>
      <c r="B427" t="s">
        <v>20</v>
      </c>
      <c r="C427" t="s">
        <v>12</v>
      </c>
      <c r="D427" t="s">
        <v>54</v>
      </c>
      <c r="E427" t="s">
        <v>44</v>
      </c>
      <c r="F427">
        <v>44</v>
      </c>
      <c r="G427">
        <v>117.9</v>
      </c>
      <c r="H427">
        <v>5187.6000000000004</v>
      </c>
      <c r="I427" t="s">
        <v>150</v>
      </c>
      <c r="J427" t="s">
        <v>16</v>
      </c>
    </row>
    <row r="428" spans="1:11" x14ac:dyDescent="0.3">
      <c r="A428" s="9">
        <v>45815</v>
      </c>
      <c r="B428" t="s">
        <v>34</v>
      </c>
      <c r="C428" t="s">
        <v>19</v>
      </c>
      <c r="D428" t="s">
        <v>13</v>
      </c>
      <c r="E428" t="s">
        <v>14</v>
      </c>
      <c r="F428">
        <v>61</v>
      </c>
      <c r="G428">
        <v>47.5</v>
      </c>
      <c r="H428">
        <v>2897.5</v>
      </c>
      <c r="I428" t="s">
        <v>147</v>
      </c>
      <c r="J428" t="s">
        <v>47</v>
      </c>
      <c r="K428" t="s">
        <v>148</v>
      </c>
    </row>
    <row r="429" spans="1:11" x14ac:dyDescent="0.3">
      <c r="A429" s="9">
        <v>45816</v>
      </c>
      <c r="B429" t="s">
        <v>56</v>
      </c>
      <c r="C429" t="s">
        <v>30</v>
      </c>
      <c r="D429" t="s">
        <v>31</v>
      </c>
      <c r="E429" t="s">
        <v>32</v>
      </c>
      <c r="F429">
        <v>123</v>
      </c>
      <c r="G429">
        <v>11.97</v>
      </c>
      <c r="H429">
        <v>1472.3100000000002</v>
      </c>
      <c r="I429" t="s">
        <v>147</v>
      </c>
      <c r="J429" t="s">
        <v>47</v>
      </c>
      <c r="K429" t="s">
        <v>148</v>
      </c>
    </row>
    <row r="430" spans="1:11" x14ac:dyDescent="0.3">
      <c r="A430" s="9">
        <v>45816</v>
      </c>
      <c r="B430" t="s">
        <v>20</v>
      </c>
      <c r="C430" t="s">
        <v>19</v>
      </c>
      <c r="D430" t="s">
        <v>26</v>
      </c>
      <c r="E430" t="s">
        <v>27</v>
      </c>
      <c r="F430">
        <v>115</v>
      </c>
      <c r="G430">
        <v>54.82</v>
      </c>
      <c r="H430">
        <v>6304.3</v>
      </c>
      <c r="I430" t="s">
        <v>37</v>
      </c>
      <c r="J430" t="s">
        <v>29</v>
      </c>
      <c r="K430" t="s">
        <v>152</v>
      </c>
    </row>
    <row r="431" spans="1:11" x14ac:dyDescent="0.3">
      <c r="A431" s="9">
        <v>45816</v>
      </c>
      <c r="B431" t="s">
        <v>11</v>
      </c>
      <c r="C431" t="s">
        <v>38</v>
      </c>
      <c r="D431" t="s">
        <v>58</v>
      </c>
      <c r="E431" t="s">
        <v>22</v>
      </c>
      <c r="F431">
        <v>190</v>
      </c>
      <c r="G431">
        <v>24.47</v>
      </c>
      <c r="H431">
        <v>4649.3</v>
      </c>
      <c r="I431" t="s">
        <v>28</v>
      </c>
      <c r="J431" t="s">
        <v>16</v>
      </c>
      <c r="K431" t="s">
        <v>148</v>
      </c>
    </row>
    <row r="432" spans="1:11" x14ac:dyDescent="0.3">
      <c r="A432" s="9">
        <v>45817</v>
      </c>
      <c r="B432" t="s">
        <v>18</v>
      </c>
      <c r="C432" t="s">
        <v>45</v>
      </c>
      <c r="D432" t="s">
        <v>54</v>
      </c>
      <c r="E432" t="s">
        <v>44</v>
      </c>
      <c r="F432">
        <v>11</v>
      </c>
      <c r="G432">
        <v>112.86</v>
      </c>
      <c r="H432">
        <v>1241.46</v>
      </c>
      <c r="I432" t="s">
        <v>28</v>
      </c>
      <c r="J432" t="s">
        <v>47</v>
      </c>
    </row>
    <row r="433" spans="1:11" x14ac:dyDescent="0.3">
      <c r="A433" s="9">
        <v>45817</v>
      </c>
      <c r="B433" t="s">
        <v>25</v>
      </c>
      <c r="C433" t="s">
        <v>12</v>
      </c>
      <c r="D433" t="s">
        <v>49</v>
      </c>
      <c r="E433" t="s">
        <v>50</v>
      </c>
      <c r="F433">
        <v>36</v>
      </c>
      <c r="G433">
        <v>20.38</v>
      </c>
      <c r="H433">
        <v>733.68</v>
      </c>
      <c r="I433" t="s">
        <v>147</v>
      </c>
      <c r="J433" t="s">
        <v>29</v>
      </c>
      <c r="K433" t="s">
        <v>148</v>
      </c>
    </row>
    <row r="434" spans="1:11" x14ac:dyDescent="0.3">
      <c r="A434" s="9">
        <v>45817</v>
      </c>
      <c r="B434" t="s">
        <v>20</v>
      </c>
      <c r="C434" t="s">
        <v>30</v>
      </c>
      <c r="D434" t="s">
        <v>58</v>
      </c>
      <c r="E434" t="s">
        <v>22</v>
      </c>
      <c r="F434">
        <v>92</v>
      </c>
      <c r="G434">
        <v>26.18</v>
      </c>
      <c r="H434">
        <v>2408.56</v>
      </c>
      <c r="I434" t="s">
        <v>147</v>
      </c>
      <c r="J434" t="s">
        <v>16</v>
      </c>
      <c r="K434" t="s">
        <v>151</v>
      </c>
    </row>
    <row r="435" spans="1:11" x14ac:dyDescent="0.3">
      <c r="A435" s="9">
        <v>45817</v>
      </c>
      <c r="B435" t="s">
        <v>34</v>
      </c>
      <c r="C435" t="s">
        <v>30</v>
      </c>
      <c r="D435" t="s">
        <v>48</v>
      </c>
      <c r="E435" t="s">
        <v>14</v>
      </c>
      <c r="F435">
        <v>66</v>
      </c>
      <c r="G435">
        <v>79.16</v>
      </c>
      <c r="H435">
        <v>5224.5599999999995</v>
      </c>
      <c r="I435" t="s">
        <v>15</v>
      </c>
      <c r="J435" t="s">
        <v>29</v>
      </c>
      <c r="K435" t="s">
        <v>146</v>
      </c>
    </row>
    <row r="436" spans="1:11" x14ac:dyDescent="0.3">
      <c r="A436" s="9">
        <v>45818</v>
      </c>
      <c r="B436" t="s">
        <v>53</v>
      </c>
      <c r="C436" t="s">
        <v>38</v>
      </c>
      <c r="D436" t="s">
        <v>58</v>
      </c>
      <c r="E436" t="s">
        <v>22</v>
      </c>
      <c r="F436">
        <v>171</v>
      </c>
      <c r="G436">
        <v>26.46</v>
      </c>
      <c r="H436">
        <v>4524.66</v>
      </c>
      <c r="I436" t="s">
        <v>15</v>
      </c>
      <c r="J436" t="s">
        <v>47</v>
      </c>
      <c r="K436" t="s">
        <v>149</v>
      </c>
    </row>
    <row r="437" spans="1:11" x14ac:dyDescent="0.3">
      <c r="A437" s="9">
        <v>45818</v>
      </c>
      <c r="B437" t="s">
        <v>56</v>
      </c>
      <c r="C437" t="s">
        <v>45</v>
      </c>
      <c r="D437" t="s">
        <v>35</v>
      </c>
      <c r="E437" t="s">
        <v>32</v>
      </c>
      <c r="F437">
        <v>103</v>
      </c>
      <c r="G437">
        <v>13.42</v>
      </c>
      <c r="H437">
        <v>1382.26</v>
      </c>
      <c r="I437" t="s">
        <v>37</v>
      </c>
      <c r="J437" t="s">
        <v>29</v>
      </c>
    </row>
    <row r="438" spans="1:11" x14ac:dyDescent="0.3">
      <c r="A438" s="9">
        <v>45819</v>
      </c>
      <c r="B438" t="s">
        <v>56</v>
      </c>
      <c r="C438" t="s">
        <v>38</v>
      </c>
      <c r="D438" t="s">
        <v>43</v>
      </c>
      <c r="E438" t="s">
        <v>44</v>
      </c>
      <c r="F438">
        <v>154</v>
      </c>
      <c r="G438">
        <v>121.37</v>
      </c>
      <c r="H438">
        <v>18690.98</v>
      </c>
      <c r="I438" t="s">
        <v>147</v>
      </c>
      <c r="J438" t="s">
        <v>29</v>
      </c>
    </row>
    <row r="439" spans="1:11" x14ac:dyDescent="0.3">
      <c r="A439" s="9">
        <v>45819</v>
      </c>
      <c r="B439" t="s">
        <v>56</v>
      </c>
      <c r="C439" t="s">
        <v>12</v>
      </c>
      <c r="D439" t="s">
        <v>59</v>
      </c>
      <c r="E439" t="s">
        <v>50</v>
      </c>
      <c r="F439">
        <v>192</v>
      </c>
      <c r="G439">
        <v>30.21</v>
      </c>
      <c r="H439">
        <v>5800.32</v>
      </c>
      <c r="I439" t="s">
        <v>150</v>
      </c>
      <c r="J439" t="s">
        <v>47</v>
      </c>
    </row>
    <row r="440" spans="1:11" x14ac:dyDescent="0.3">
      <c r="A440" s="9">
        <v>45819</v>
      </c>
      <c r="B440" t="s">
        <v>56</v>
      </c>
      <c r="C440" t="s">
        <v>45</v>
      </c>
      <c r="D440" t="s">
        <v>52</v>
      </c>
      <c r="E440" t="s">
        <v>27</v>
      </c>
      <c r="F440">
        <v>41</v>
      </c>
      <c r="G440">
        <v>49.06</v>
      </c>
      <c r="H440">
        <v>2011.46</v>
      </c>
      <c r="I440" t="s">
        <v>150</v>
      </c>
      <c r="J440" t="s">
        <v>16</v>
      </c>
      <c r="K440" t="s">
        <v>149</v>
      </c>
    </row>
    <row r="441" spans="1:11" x14ac:dyDescent="0.3">
      <c r="A441" s="9">
        <v>45819</v>
      </c>
      <c r="B441" t="s">
        <v>56</v>
      </c>
      <c r="C441" t="s">
        <v>19</v>
      </c>
      <c r="D441" t="s">
        <v>49</v>
      </c>
      <c r="E441" t="s">
        <v>50</v>
      </c>
      <c r="F441">
        <v>34</v>
      </c>
      <c r="G441">
        <v>18.95</v>
      </c>
      <c r="H441">
        <v>644.29999999999995</v>
      </c>
      <c r="I441" t="s">
        <v>15</v>
      </c>
      <c r="J441" t="s">
        <v>16</v>
      </c>
    </row>
    <row r="442" spans="1:11" x14ac:dyDescent="0.3">
      <c r="A442" s="9">
        <v>45820</v>
      </c>
      <c r="B442" t="s">
        <v>25</v>
      </c>
      <c r="C442" t="s">
        <v>45</v>
      </c>
      <c r="D442" t="s">
        <v>39</v>
      </c>
      <c r="E442" t="s">
        <v>40</v>
      </c>
      <c r="F442">
        <v>72</v>
      </c>
      <c r="G442">
        <v>53.94</v>
      </c>
      <c r="H442">
        <v>3883.68</v>
      </c>
      <c r="I442" t="s">
        <v>37</v>
      </c>
      <c r="J442" t="s">
        <v>47</v>
      </c>
    </row>
    <row r="443" spans="1:11" x14ac:dyDescent="0.3">
      <c r="A443" s="9">
        <v>45820</v>
      </c>
      <c r="B443" t="s">
        <v>34</v>
      </c>
      <c r="C443" t="s">
        <v>45</v>
      </c>
      <c r="D443" t="s">
        <v>52</v>
      </c>
      <c r="E443" t="s">
        <v>27</v>
      </c>
      <c r="F443">
        <v>105</v>
      </c>
      <c r="G443">
        <v>44.51</v>
      </c>
      <c r="H443">
        <v>4673.55</v>
      </c>
      <c r="I443" t="s">
        <v>15</v>
      </c>
      <c r="J443" t="s">
        <v>29</v>
      </c>
    </row>
    <row r="444" spans="1:11" x14ac:dyDescent="0.3">
      <c r="A444" s="9">
        <v>45820</v>
      </c>
      <c r="B444" t="s">
        <v>34</v>
      </c>
      <c r="C444" t="s">
        <v>19</v>
      </c>
      <c r="D444" t="s">
        <v>21</v>
      </c>
      <c r="E444" t="s">
        <v>22</v>
      </c>
      <c r="F444">
        <v>149</v>
      </c>
      <c r="G444">
        <v>9.8000000000000007</v>
      </c>
      <c r="H444">
        <v>1460.2</v>
      </c>
      <c r="I444" t="s">
        <v>147</v>
      </c>
      <c r="J444" t="s">
        <v>16</v>
      </c>
    </row>
    <row r="445" spans="1:11" x14ac:dyDescent="0.3">
      <c r="A445" s="9">
        <v>45821</v>
      </c>
      <c r="B445" t="s">
        <v>53</v>
      </c>
      <c r="C445" t="s">
        <v>30</v>
      </c>
      <c r="D445" t="s">
        <v>39</v>
      </c>
      <c r="E445" t="s">
        <v>40</v>
      </c>
      <c r="F445">
        <v>80</v>
      </c>
      <c r="G445">
        <v>51.83</v>
      </c>
      <c r="H445">
        <v>4146.3999999999996</v>
      </c>
      <c r="I445" t="s">
        <v>15</v>
      </c>
      <c r="J445" t="s">
        <v>47</v>
      </c>
    </row>
    <row r="446" spans="1:11" x14ac:dyDescent="0.3">
      <c r="A446" s="9">
        <v>45821</v>
      </c>
      <c r="B446" t="s">
        <v>34</v>
      </c>
      <c r="C446" t="s">
        <v>45</v>
      </c>
      <c r="D446" t="s">
        <v>26</v>
      </c>
      <c r="E446" t="s">
        <v>27</v>
      </c>
      <c r="F446">
        <v>170</v>
      </c>
      <c r="G446">
        <v>54.47</v>
      </c>
      <c r="H446">
        <v>9259.9</v>
      </c>
      <c r="I446" t="s">
        <v>37</v>
      </c>
      <c r="J446" t="s">
        <v>16</v>
      </c>
    </row>
    <row r="447" spans="1:11" x14ac:dyDescent="0.3">
      <c r="A447" s="9">
        <v>45821</v>
      </c>
      <c r="B447" t="s">
        <v>18</v>
      </c>
      <c r="C447" t="s">
        <v>12</v>
      </c>
      <c r="D447" t="s">
        <v>60</v>
      </c>
      <c r="E447" t="s">
        <v>44</v>
      </c>
      <c r="F447">
        <v>198</v>
      </c>
      <c r="G447">
        <v>114.19</v>
      </c>
      <c r="H447">
        <v>22609.62</v>
      </c>
      <c r="I447" t="s">
        <v>147</v>
      </c>
      <c r="J447" t="s">
        <v>16</v>
      </c>
    </row>
    <row r="448" spans="1:11" x14ac:dyDescent="0.3">
      <c r="A448" s="9">
        <v>45821</v>
      </c>
      <c r="B448" t="s">
        <v>25</v>
      </c>
      <c r="C448" t="s">
        <v>19</v>
      </c>
      <c r="D448" t="s">
        <v>54</v>
      </c>
      <c r="E448" t="s">
        <v>44</v>
      </c>
      <c r="F448">
        <v>89</v>
      </c>
      <c r="G448">
        <v>117.41</v>
      </c>
      <c r="H448">
        <v>10449.49</v>
      </c>
      <c r="I448" t="s">
        <v>150</v>
      </c>
      <c r="J448" t="s">
        <v>16</v>
      </c>
    </row>
    <row r="449" spans="1:11" x14ac:dyDescent="0.3">
      <c r="A449" s="9">
        <v>45822</v>
      </c>
      <c r="B449" t="s">
        <v>11</v>
      </c>
      <c r="C449" t="s">
        <v>19</v>
      </c>
      <c r="D449" t="s">
        <v>52</v>
      </c>
      <c r="E449" t="s">
        <v>27</v>
      </c>
      <c r="F449">
        <v>36</v>
      </c>
      <c r="G449">
        <v>48.12</v>
      </c>
      <c r="H449">
        <v>1732.32</v>
      </c>
      <c r="I449" t="s">
        <v>28</v>
      </c>
      <c r="J449" t="s">
        <v>16</v>
      </c>
    </row>
    <row r="450" spans="1:11" x14ac:dyDescent="0.3">
      <c r="A450" s="9">
        <v>45822</v>
      </c>
      <c r="B450" t="s">
        <v>34</v>
      </c>
      <c r="C450" t="s">
        <v>12</v>
      </c>
      <c r="D450" t="s">
        <v>35</v>
      </c>
      <c r="E450" t="s">
        <v>32</v>
      </c>
      <c r="F450">
        <v>185</v>
      </c>
      <c r="G450">
        <v>13.9</v>
      </c>
      <c r="H450">
        <v>2571.5</v>
      </c>
      <c r="I450" t="s">
        <v>150</v>
      </c>
      <c r="J450" t="s">
        <v>29</v>
      </c>
    </row>
    <row r="451" spans="1:11" x14ac:dyDescent="0.3">
      <c r="A451" s="9">
        <v>45822</v>
      </c>
      <c r="B451" t="s">
        <v>18</v>
      </c>
      <c r="C451" t="s">
        <v>38</v>
      </c>
      <c r="D451" t="s">
        <v>48</v>
      </c>
      <c r="E451" t="s">
        <v>14</v>
      </c>
      <c r="F451">
        <v>107</v>
      </c>
      <c r="G451">
        <v>84.26</v>
      </c>
      <c r="H451">
        <v>9015.82</v>
      </c>
      <c r="I451" t="s">
        <v>15</v>
      </c>
      <c r="J451" t="s">
        <v>16</v>
      </c>
    </row>
    <row r="452" spans="1:11" x14ac:dyDescent="0.3">
      <c r="A452" s="9">
        <v>45822</v>
      </c>
      <c r="B452" t="s">
        <v>34</v>
      </c>
      <c r="C452" t="s">
        <v>30</v>
      </c>
      <c r="D452" t="s">
        <v>39</v>
      </c>
      <c r="E452" t="s">
        <v>40</v>
      </c>
      <c r="F452">
        <v>157</v>
      </c>
      <c r="G452">
        <v>57.47</v>
      </c>
      <c r="H452">
        <v>9022.7899999999991</v>
      </c>
      <c r="I452" t="s">
        <v>147</v>
      </c>
      <c r="J452" t="s">
        <v>29</v>
      </c>
    </row>
    <row r="453" spans="1:11" x14ac:dyDescent="0.3">
      <c r="A453" s="9">
        <v>45823</v>
      </c>
      <c r="B453" t="s">
        <v>18</v>
      </c>
      <c r="C453" t="s">
        <v>45</v>
      </c>
      <c r="D453" t="s">
        <v>48</v>
      </c>
      <c r="E453" t="s">
        <v>14</v>
      </c>
      <c r="F453">
        <v>14</v>
      </c>
      <c r="G453">
        <v>80.650000000000006</v>
      </c>
      <c r="H453">
        <v>1129.1000000000001</v>
      </c>
      <c r="I453" t="s">
        <v>15</v>
      </c>
      <c r="J453" t="s">
        <v>29</v>
      </c>
    </row>
    <row r="454" spans="1:11" x14ac:dyDescent="0.3">
      <c r="A454" s="9">
        <v>45823</v>
      </c>
      <c r="B454" t="s">
        <v>56</v>
      </c>
      <c r="C454" t="s">
        <v>45</v>
      </c>
      <c r="D454" t="s">
        <v>58</v>
      </c>
      <c r="E454" t="s">
        <v>22</v>
      </c>
      <c r="F454">
        <v>183</v>
      </c>
      <c r="G454">
        <v>26.87</v>
      </c>
      <c r="H454">
        <v>4917.21</v>
      </c>
      <c r="I454" t="s">
        <v>147</v>
      </c>
      <c r="J454" t="s">
        <v>16</v>
      </c>
      <c r="K454" t="s">
        <v>152</v>
      </c>
    </row>
    <row r="455" spans="1:11" x14ac:dyDescent="0.3">
      <c r="A455" s="9">
        <v>45823</v>
      </c>
      <c r="B455" t="s">
        <v>20</v>
      </c>
      <c r="C455" t="s">
        <v>38</v>
      </c>
      <c r="D455" t="s">
        <v>31</v>
      </c>
      <c r="E455" t="s">
        <v>32</v>
      </c>
      <c r="F455">
        <v>176</v>
      </c>
      <c r="G455">
        <v>11.08</v>
      </c>
      <c r="H455">
        <v>1950.08</v>
      </c>
      <c r="I455" t="s">
        <v>147</v>
      </c>
      <c r="J455" t="s">
        <v>16</v>
      </c>
    </row>
    <row r="456" spans="1:11" x14ac:dyDescent="0.3">
      <c r="A456" s="9">
        <v>45823</v>
      </c>
      <c r="B456" t="s">
        <v>18</v>
      </c>
      <c r="C456" t="s">
        <v>38</v>
      </c>
      <c r="D456" t="s">
        <v>52</v>
      </c>
      <c r="E456" t="s">
        <v>27</v>
      </c>
      <c r="F456">
        <v>188</v>
      </c>
      <c r="G456">
        <v>49.26</v>
      </c>
      <c r="H456">
        <v>9260.8799999999992</v>
      </c>
      <c r="I456" t="s">
        <v>37</v>
      </c>
      <c r="J456" t="s">
        <v>16</v>
      </c>
      <c r="K456" t="s">
        <v>148</v>
      </c>
    </row>
    <row r="457" spans="1:11" x14ac:dyDescent="0.3">
      <c r="A457" s="9">
        <v>45823</v>
      </c>
      <c r="B457" t="s">
        <v>53</v>
      </c>
      <c r="C457" t="s">
        <v>19</v>
      </c>
      <c r="D457" t="s">
        <v>49</v>
      </c>
      <c r="E457" t="s">
        <v>50</v>
      </c>
      <c r="F457">
        <v>45</v>
      </c>
      <c r="G457">
        <v>19.03</v>
      </c>
      <c r="H457">
        <v>856.35</v>
      </c>
      <c r="I457" t="s">
        <v>147</v>
      </c>
      <c r="J457" t="s">
        <v>16</v>
      </c>
    </row>
    <row r="458" spans="1:11" x14ac:dyDescent="0.3">
      <c r="A458" s="9">
        <v>45823</v>
      </c>
      <c r="B458" t="s">
        <v>25</v>
      </c>
      <c r="C458" t="s">
        <v>12</v>
      </c>
      <c r="D458" t="s">
        <v>43</v>
      </c>
      <c r="E458" t="s">
        <v>44</v>
      </c>
      <c r="F458">
        <v>170</v>
      </c>
      <c r="G458">
        <v>137.6</v>
      </c>
      <c r="H458">
        <v>23392</v>
      </c>
      <c r="I458" t="s">
        <v>150</v>
      </c>
      <c r="J458" t="s">
        <v>29</v>
      </c>
      <c r="K458" t="s">
        <v>152</v>
      </c>
    </row>
    <row r="459" spans="1:11" x14ac:dyDescent="0.3">
      <c r="A459" s="9">
        <v>45823</v>
      </c>
      <c r="B459" t="s">
        <v>20</v>
      </c>
      <c r="C459" t="s">
        <v>38</v>
      </c>
      <c r="D459" t="s">
        <v>52</v>
      </c>
      <c r="E459" t="s">
        <v>27</v>
      </c>
      <c r="F459">
        <v>20</v>
      </c>
      <c r="G459">
        <v>49.23</v>
      </c>
      <c r="H459">
        <v>984.59999999999991</v>
      </c>
      <c r="I459" t="s">
        <v>28</v>
      </c>
      <c r="J459" t="s">
        <v>16</v>
      </c>
    </row>
    <row r="460" spans="1:11" x14ac:dyDescent="0.3">
      <c r="A460" s="9">
        <v>45823</v>
      </c>
      <c r="B460" t="s">
        <v>36</v>
      </c>
      <c r="C460" t="s">
        <v>12</v>
      </c>
      <c r="D460" t="s">
        <v>21</v>
      </c>
      <c r="E460" t="s">
        <v>22</v>
      </c>
      <c r="F460">
        <v>97</v>
      </c>
      <c r="G460">
        <v>10.46</v>
      </c>
      <c r="H460">
        <v>1014.6200000000001</v>
      </c>
      <c r="I460" t="s">
        <v>147</v>
      </c>
      <c r="J460" t="s">
        <v>47</v>
      </c>
      <c r="K460" t="s">
        <v>148</v>
      </c>
    </row>
    <row r="461" spans="1:11" x14ac:dyDescent="0.3">
      <c r="A461" s="9">
        <v>45823</v>
      </c>
      <c r="B461" t="s">
        <v>56</v>
      </c>
      <c r="C461" t="s">
        <v>30</v>
      </c>
      <c r="D461" t="s">
        <v>39</v>
      </c>
      <c r="E461" t="s">
        <v>40</v>
      </c>
      <c r="F461">
        <v>181</v>
      </c>
      <c r="G461">
        <v>55.46</v>
      </c>
      <c r="H461">
        <v>10038.26</v>
      </c>
      <c r="I461" t="s">
        <v>37</v>
      </c>
      <c r="J461" t="s">
        <v>16</v>
      </c>
      <c r="K461" t="s">
        <v>152</v>
      </c>
    </row>
    <row r="462" spans="1:11" x14ac:dyDescent="0.3">
      <c r="A462" s="9">
        <v>45824</v>
      </c>
      <c r="B462" t="s">
        <v>25</v>
      </c>
      <c r="C462" t="s">
        <v>30</v>
      </c>
      <c r="D462" t="s">
        <v>43</v>
      </c>
      <c r="E462" t="s">
        <v>44</v>
      </c>
      <c r="F462">
        <v>188</v>
      </c>
      <c r="G462">
        <v>140.02000000000001</v>
      </c>
      <c r="H462">
        <v>26323.760000000002</v>
      </c>
      <c r="I462" t="s">
        <v>37</v>
      </c>
      <c r="J462" t="s">
        <v>47</v>
      </c>
      <c r="K462" t="s">
        <v>146</v>
      </c>
    </row>
    <row r="463" spans="1:11" x14ac:dyDescent="0.3">
      <c r="A463" s="9">
        <v>45825</v>
      </c>
      <c r="B463" t="s">
        <v>56</v>
      </c>
      <c r="C463" t="s">
        <v>45</v>
      </c>
      <c r="D463" t="s">
        <v>31</v>
      </c>
      <c r="E463" t="s">
        <v>32</v>
      </c>
      <c r="F463">
        <v>179</v>
      </c>
      <c r="G463">
        <v>12.73</v>
      </c>
      <c r="H463">
        <v>2278.67</v>
      </c>
      <c r="I463" t="s">
        <v>150</v>
      </c>
      <c r="J463" t="s">
        <v>47</v>
      </c>
    </row>
    <row r="464" spans="1:11" x14ac:dyDescent="0.3">
      <c r="A464" s="9">
        <v>45825</v>
      </c>
      <c r="B464" t="s">
        <v>18</v>
      </c>
      <c r="C464" t="s">
        <v>38</v>
      </c>
      <c r="D464" t="s">
        <v>21</v>
      </c>
      <c r="E464" t="s">
        <v>22</v>
      </c>
      <c r="F464">
        <v>191</v>
      </c>
      <c r="G464">
        <v>9.6999999999999993</v>
      </c>
      <c r="H464">
        <v>1852.6999999999998</v>
      </c>
      <c r="I464" t="s">
        <v>15</v>
      </c>
      <c r="J464" t="s">
        <v>16</v>
      </c>
      <c r="K464" t="s">
        <v>152</v>
      </c>
    </row>
    <row r="465" spans="1:11" x14ac:dyDescent="0.3">
      <c r="A465" s="9">
        <v>45825</v>
      </c>
      <c r="B465" t="s">
        <v>11</v>
      </c>
      <c r="C465" t="s">
        <v>12</v>
      </c>
      <c r="D465" t="s">
        <v>58</v>
      </c>
      <c r="E465" t="s">
        <v>22</v>
      </c>
      <c r="F465">
        <v>61</v>
      </c>
      <c r="G465">
        <v>24.15</v>
      </c>
      <c r="H465">
        <v>1473.1499999999999</v>
      </c>
      <c r="I465" t="s">
        <v>15</v>
      </c>
      <c r="J465" t="s">
        <v>47</v>
      </c>
      <c r="K465" t="s">
        <v>152</v>
      </c>
    </row>
    <row r="466" spans="1:11" x14ac:dyDescent="0.3">
      <c r="A466" s="9">
        <v>45825</v>
      </c>
      <c r="B466" t="s">
        <v>36</v>
      </c>
      <c r="C466" t="s">
        <v>19</v>
      </c>
      <c r="D466" t="s">
        <v>54</v>
      </c>
      <c r="E466" t="s">
        <v>44</v>
      </c>
      <c r="F466">
        <v>105</v>
      </c>
      <c r="G466">
        <v>112.62</v>
      </c>
      <c r="H466">
        <v>11825.1</v>
      </c>
      <c r="I466" t="s">
        <v>15</v>
      </c>
      <c r="J466" t="s">
        <v>16</v>
      </c>
    </row>
    <row r="467" spans="1:11" x14ac:dyDescent="0.3">
      <c r="A467" s="9">
        <v>45826</v>
      </c>
      <c r="B467" t="s">
        <v>11</v>
      </c>
      <c r="C467" t="s">
        <v>45</v>
      </c>
      <c r="D467" t="s">
        <v>43</v>
      </c>
      <c r="E467" t="s">
        <v>44</v>
      </c>
      <c r="F467">
        <v>77</v>
      </c>
      <c r="G467">
        <v>132.22</v>
      </c>
      <c r="H467">
        <v>10180.94</v>
      </c>
      <c r="I467" t="s">
        <v>28</v>
      </c>
      <c r="J467" t="s">
        <v>16</v>
      </c>
      <c r="K467" t="s">
        <v>151</v>
      </c>
    </row>
    <row r="468" spans="1:11" x14ac:dyDescent="0.3">
      <c r="A468" s="9">
        <v>45826</v>
      </c>
      <c r="B468" t="s">
        <v>20</v>
      </c>
      <c r="C468" t="s">
        <v>12</v>
      </c>
      <c r="D468" t="s">
        <v>48</v>
      </c>
      <c r="E468" t="s">
        <v>14</v>
      </c>
      <c r="F468">
        <v>81</v>
      </c>
      <c r="G468">
        <v>91.35</v>
      </c>
      <c r="H468">
        <v>7399.3499999999995</v>
      </c>
      <c r="I468" t="s">
        <v>15</v>
      </c>
      <c r="J468" t="s">
        <v>29</v>
      </c>
      <c r="K468" t="s">
        <v>151</v>
      </c>
    </row>
    <row r="469" spans="1:11" x14ac:dyDescent="0.3">
      <c r="A469" s="9">
        <v>45826</v>
      </c>
      <c r="B469" t="s">
        <v>34</v>
      </c>
      <c r="C469" t="s">
        <v>38</v>
      </c>
      <c r="D469" t="s">
        <v>52</v>
      </c>
      <c r="E469" t="s">
        <v>27</v>
      </c>
      <c r="F469">
        <v>165</v>
      </c>
      <c r="G469">
        <v>49.9</v>
      </c>
      <c r="H469">
        <v>8233.5</v>
      </c>
      <c r="I469" t="s">
        <v>37</v>
      </c>
      <c r="J469" t="s">
        <v>47</v>
      </c>
    </row>
    <row r="470" spans="1:11" x14ac:dyDescent="0.3">
      <c r="A470" s="9">
        <v>45826</v>
      </c>
      <c r="B470" t="s">
        <v>34</v>
      </c>
      <c r="C470" t="s">
        <v>38</v>
      </c>
      <c r="D470" t="s">
        <v>39</v>
      </c>
      <c r="E470" t="s">
        <v>40</v>
      </c>
      <c r="F470">
        <v>185</v>
      </c>
      <c r="G470">
        <v>54.59</v>
      </c>
      <c r="H470">
        <v>10099.150000000001</v>
      </c>
      <c r="I470" t="s">
        <v>147</v>
      </c>
      <c r="J470" t="s">
        <v>29</v>
      </c>
      <c r="K470" t="s">
        <v>152</v>
      </c>
    </row>
    <row r="471" spans="1:11" x14ac:dyDescent="0.3">
      <c r="A471" s="9">
        <v>45826</v>
      </c>
      <c r="B471" t="s">
        <v>34</v>
      </c>
      <c r="C471" t="s">
        <v>30</v>
      </c>
      <c r="D471" t="s">
        <v>21</v>
      </c>
      <c r="E471" t="s">
        <v>22</v>
      </c>
      <c r="F471">
        <v>89</v>
      </c>
      <c r="G471">
        <v>9.5399999999999991</v>
      </c>
      <c r="H471">
        <v>849.06</v>
      </c>
      <c r="I471" t="s">
        <v>150</v>
      </c>
      <c r="J471" t="s">
        <v>47</v>
      </c>
    </row>
    <row r="472" spans="1:11" x14ac:dyDescent="0.3">
      <c r="A472" s="9">
        <v>45826</v>
      </c>
      <c r="B472" t="s">
        <v>25</v>
      </c>
      <c r="C472" t="s">
        <v>30</v>
      </c>
      <c r="D472" t="s">
        <v>39</v>
      </c>
      <c r="E472" t="s">
        <v>40</v>
      </c>
      <c r="F472">
        <v>57</v>
      </c>
      <c r="G472">
        <v>54.71</v>
      </c>
      <c r="H472">
        <v>3118.4700000000003</v>
      </c>
      <c r="I472" t="s">
        <v>150</v>
      </c>
      <c r="J472" t="s">
        <v>16</v>
      </c>
      <c r="K472" t="s">
        <v>151</v>
      </c>
    </row>
    <row r="473" spans="1:11" x14ac:dyDescent="0.3">
      <c r="A473" s="9">
        <v>45827</v>
      </c>
      <c r="B473" t="s">
        <v>36</v>
      </c>
      <c r="C473" t="s">
        <v>12</v>
      </c>
      <c r="D473" t="s">
        <v>52</v>
      </c>
      <c r="E473" t="s">
        <v>27</v>
      </c>
      <c r="F473">
        <v>145</v>
      </c>
      <c r="G473">
        <v>51.81</v>
      </c>
      <c r="H473">
        <v>7512.4500000000007</v>
      </c>
      <c r="I473" t="s">
        <v>37</v>
      </c>
      <c r="J473" t="s">
        <v>29</v>
      </c>
    </row>
    <row r="474" spans="1:11" x14ac:dyDescent="0.3">
      <c r="A474" s="9">
        <v>45827</v>
      </c>
      <c r="B474" t="s">
        <v>53</v>
      </c>
      <c r="C474" t="s">
        <v>38</v>
      </c>
      <c r="D474" t="s">
        <v>35</v>
      </c>
      <c r="E474" t="s">
        <v>32</v>
      </c>
      <c r="F474">
        <v>54</v>
      </c>
      <c r="G474">
        <v>13.23</v>
      </c>
      <c r="H474">
        <v>714.42000000000007</v>
      </c>
      <c r="I474" t="s">
        <v>28</v>
      </c>
      <c r="J474" t="s">
        <v>29</v>
      </c>
      <c r="K474" t="s">
        <v>148</v>
      </c>
    </row>
    <row r="475" spans="1:11" x14ac:dyDescent="0.3">
      <c r="A475" s="9">
        <v>45827</v>
      </c>
      <c r="B475" t="s">
        <v>25</v>
      </c>
      <c r="C475" t="s">
        <v>12</v>
      </c>
      <c r="D475" t="s">
        <v>60</v>
      </c>
      <c r="E475" t="s">
        <v>44</v>
      </c>
      <c r="F475">
        <v>42</v>
      </c>
      <c r="G475">
        <v>121.73</v>
      </c>
      <c r="H475">
        <v>5112.66</v>
      </c>
      <c r="I475" t="s">
        <v>37</v>
      </c>
      <c r="J475" t="s">
        <v>29</v>
      </c>
    </row>
    <row r="476" spans="1:11" x14ac:dyDescent="0.3">
      <c r="A476" s="9">
        <v>45827</v>
      </c>
      <c r="B476" t="s">
        <v>18</v>
      </c>
      <c r="C476" t="s">
        <v>45</v>
      </c>
      <c r="D476" t="s">
        <v>59</v>
      </c>
      <c r="E476" t="s">
        <v>50</v>
      </c>
      <c r="F476">
        <v>14</v>
      </c>
      <c r="G476">
        <v>27.92</v>
      </c>
      <c r="H476">
        <v>390.88</v>
      </c>
      <c r="I476" t="s">
        <v>37</v>
      </c>
      <c r="J476" t="s">
        <v>16</v>
      </c>
      <c r="K476" t="s">
        <v>146</v>
      </c>
    </row>
    <row r="477" spans="1:11" x14ac:dyDescent="0.3">
      <c r="A477" s="9">
        <v>45827</v>
      </c>
      <c r="B477" t="s">
        <v>11</v>
      </c>
      <c r="C477" t="s">
        <v>12</v>
      </c>
      <c r="D477" t="s">
        <v>35</v>
      </c>
      <c r="E477" t="s">
        <v>32</v>
      </c>
      <c r="F477">
        <v>85</v>
      </c>
      <c r="G477">
        <v>13.98</v>
      </c>
      <c r="H477">
        <v>1188.3</v>
      </c>
      <c r="I477" t="s">
        <v>28</v>
      </c>
      <c r="J477" t="s">
        <v>47</v>
      </c>
    </row>
    <row r="478" spans="1:11" x14ac:dyDescent="0.3">
      <c r="A478" s="9">
        <v>45827</v>
      </c>
      <c r="B478" t="s">
        <v>20</v>
      </c>
      <c r="C478" t="s">
        <v>45</v>
      </c>
      <c r="D478" t="s">
        <v>60</v>
      </c>
      <c r="E478" t="s">
        <v>44</v>
      </c>
      <c r="F478">
        <v>144</v>
      </c>
      <c r="G478">
        <v>113.87</v>
      </c>
      <c r="H478">
        <v>16397.28</v>
      </c>
      <c r="I478" t="s">
        <v>150</v>
      </c>
      <c r="J478" t="s">
        <v>29</v>
      </c>
    </row>
    <row r="479" spans="1:11" x14ac:dyDescent="0.3">
      <c r="A479" s="9">
        <v>45828</v>
      </c>
      <c r="B479" t="s">
        <v>36</v>
      </c>
      <c r="C479" t="s">
        <v>30</v>
      </c>
      <c r="D479" t="s">
        <v>52</v>
      </c>
      <c r="E479" t="s">
        <v>27</v>
      </c>
      <c r="F479">
        <v>148</v>
      </c>
      <c r="G479">
        <v>46.46</v>
      </c>
      <c r="H479">
        <v>6876.08</v>
      </c>
      <c r="I479" t="s">
        <v>37</v>
      </c>
      <c r="J479" t="s">
        <v>16</v>
      </c>
    </row>
    <row r="480" spans="1:11" x14ac:dyDescent="0.3">
      <c r="A480" s="9">
        <v>45828</v>
      </c>
      <c r="B480" t="s">
        <v>25</v>
      </c>
      <c r="C480" t="s">
        <v>12</v>
      </c>
      <c r="D480" t="s">
        <v>31</v>
      </c>
      <c r="E480" t="s">
        <v>32</v>
      </c>
      <c r="F480">
        <v>197</v>
      </c>
      <c r="G480">
        <v>11.28</v>
      </c>
      <c r="H480">
        <v>2222.16</v>
      </c>
      <c r="I480" t="s">
        <v>37</v>
      </c>
      <c r="J480" t="s">
        <v>47</v>
      </c>
    </row>
    <row r="481" spans="1:11" x14ac:dyDescent="0.3">
      <c r="A481" s="9">
        <v>45829</v>
      </c>
      <c r="B481" t="s">
        <v>20</v>
      </c>
      <c r="C481" t="s">
        <v>38</v>
      </c>
      <c r="D481" t="s">
        <v>60</v>
      </c>
      <c r="E481" t="s">
        <v>44</v>
      </c>
      <c r="F481">
        <v>35</v>
      </c>
      <c r="G481">
        <v>124.17</v>
      </c>
      <c r="H481">
        <v>4345.95</v>
      </c>
      <c r="I481" t="s">
        <v>28</v>
      </c>
      <c r="J481" t="s">
        <v>16</v>
      </c>
    </row>
    <row r="482" spans="1:11" x14ac:dyDescent="0.3">
      <c r="A482" s="9">
        <v>45830</v>
      </c>
      <c r="B482" t="s">
        <v>20</v>
      </c>
      <c r="C482" t="s">
        <v>12</v>
      </c>
      <c r="D482" t="s">
        <v>60</v>
      </c>
      <c r="E482" t="s">
        <v>44</v>
      </c>
      <c r="F482">
        <v>168</v>
      </c>
      <c r="G482">
        <v>121.18</v>
      </c>
      <c r="H482">
        <v>20358.240000000002</v>
      </c>
      <c r="I482" t="s">
        <v>28</v>
      </c>
      <c r="J482" t="s">
        <v>16</v>
      </c>
      <c r="K482" t="s">
        <v>148</v>
      </c>
    </row>
    <row r="483" spans="1:11" x14ac:dyDescent="0.3">
      <c r="A483" s="9">
        <v>45831</v>
      </c>
      <c r="B483" t="s">
        <v>18</v>
      </c>
      <c r="C483" t="s">
        <v>19</v>
      </c>
      <c r="D483" t="s">
        <v>31</v>
      </c>
      <c r="E483" t="s">
        <v>32</v>
      </c>
      <c r="F483">
        <v>195</v>
      </c>
      <c r="G483">
        <v>12.89</v>
      </c>
      <c r="H483">
        <v>2513.5500000000002</v>
      </c>
      <c r="I483" t="s">
        <v>150</v>
      </c>
      <c r="J483" t="s">
        <v>16</v>
      </c>
      <c r="K483" t="s">
        <v>151</v>
      </c>
    </row>
    <row r="484" spans="1:11" x14ac:dyDescent="0.3">
      <c r="A484" s="9">
        <v>45832</v>
      </c>
      <c r="B484" t="s">
        <v>53</v>
      </c>
      <c r="C484" t="s">
        <v>45</v>
      </c>
      <c r="D484" t="s">
        <v>59</v>
      </c>
      <c r="E484" t="s">
        <v>50</v>
      </c>
      <c r="F484">
        <v>78</v>
      </c>
      <c r="G484">
        <v>29.23</v>
      </c>
      <c r="H484">
        <v>2279.94</v>
      </c>
      <c r="I484" t="s">
        <v>147</v>
      </c>
      <c r="J484" t="s">
        <v>16</v>
      </c>
      <c r="K484" t="s">
        <v>148</v>
      </c>
    </row>
    <row r="485" spans="1:11" x14ac:dyDescent="0.3">
      <c r="A485" s="9">
        <v>45832</v>
      </c>
      <c r="B485" t="s">
        <v>53</v>
      </c>
      <c r="C485" t="s">
        <v>45</v>
      </c>
      <c r="D485" t="s">
        <v>26</v>
      </c>
      <c r="E485" t="s">
        <v>27</v>
      </c>
      <c r="F485">
        <v>145</v>
      </c>
      <c r="G485">
        <v>51.29</v>
      </c>
      <c r="H485">
        <v>7437.05</v>
      </c>
      <c r="I485" t="s">
        <v>37</v>
      </c>
      <c r="J485" t="s">
        <v>29</v>
      </c>
      <c r="K485" t="s">
        <v>152</v>
      </c>
    </row>
    <row r="486" spans="1:11" x14ac:dyDescent="0.3">
      <c r="A486" s="9">
        <v>45832</v>
      </c>
      <c r="B486" t="s">
        <v>36</v>
      </c>
      <c r="C486" t="s">
        <v>30</v>
      </c>
      <c r="D486" t="s">
        <v>35</v>
      </c>
      <c r="E486" t="s">
        <v>32</v>
      </c>
      <c r="F486">
        <v>100</v>
      </c>
      <c r="G486">
        <v>14.83</v>
      </c>
      <c r="H486">
        <v>1483</v>
      </c>
      <c r="I486" t="s">
        <v>28</v>
      </c>
      <c r="J486" t="s">
        <v>16</v>
      </c>
    </row>
    <row r="487" spans="1:11" x14ac:dyDescent="0.3">
      <c r="A487" s="9">
        <v>45832</v>
      </c>
      <c r="B487" t="s">
        <v>34</v>
      </c>
      <c r="C487" t="s">
        <v>38</v>
      </c>
      <c r="D487" t="s">
        <v>49</v>
      </c>
      <c r="E487" t="s">
        <v>50</v>
      </c>
      <c r="F487">
        <v>25</v>
      </c>
      <c r="G487">
        <v>19.34</v>
      </c>
      <c r="H487">
        <v>483.5</v>
      </c>
      <c r="I487" t="s">
        <v>37</v>
      </c>
      <c r="J487" t="s">
        <v>47</v>
      </c>
      <c r="K487" t="s">
        <v>152</v>
      </c>
    </row>
    <row r="488" spans="1:11" x14ac:dyDescent="0.3">
      <c r="A488" s="9">
        <v>45832</v>
      </c>
      <c r="B488" t="s">
        <v>20</v>
      </c>
      <c r="C488" t="s">
        <v>12</v>
      </c>
      <c r="D488" t="s">
        <v>39</v>
      </c>
      <c r="E488" t="s">
        <v>40</v>
      </c>
      <c r="F488">
        <v>61</v>
      </c>
      <c r="G488">
        <v>52.73</v>
      </c>
      <c r="H488">
        <v>3216.5299999999997</v>
      </c>
      <c r="I488" t="s">
        <v>15</v>
      </c>
      <c r="J488" t="s">
        <v>16</v>
      </c>
    </row>
    <row r="489" spans="1:11" x14ac:dyDescent="0.3">
      <c r="A489" s="9">
        <v>45832</v>
      </c>
      <c r="B489" t="s">
        <v>36</v>
      </c>
      <c r="C489" t="s">
        <v>19</v>
      </c>
      <c r="D489" t="s">
        <v>21</v>
      </c>
      <c r="E489" t="s">
        <v>22</v>
      </c>
      <c r="F489">
        <v>183</v>
      </c>
      <c r="G489">
        <v>10.71</v>
      </c>
      <c r="H489">
        <v>1959.93</v>
      </c>
      <c r="I489" t="s">
        <v>28</v>
      </c>
      <c r="J489" t="s">
        <v>16</v>
      </c>
      <c r="K489" t="s">
        <v>152</v>
      </c>
    </row>
    <row r="490" spans="1:11" x14ac:dyDescent="0.3">
      <c r="A490" s="9">
        <v>45832</v>
      </c>
      <c r="B490" t="s">
        <v>53</v>
      </c>
      <c r="C490" t="s">
        <v>12</v>
      </c>
      <c r="D490" t="s">
        <v>48</v>
      </c>
      <c r="E490" t="s">
        <v>14</v>
      </c>
      <c r="F490">
        <v>161</v>
      </c>
      <c r="G490">
        <v>79.64</v>
      </c>
      <c r="H490">
        <v>12822.04</v>
      </c>
      <c r="I490" t="s">
        <v>150</v>
      </c>
      <c r="J490" t="s">
        <v>29</v>
      </c>
      <c r="K490" t="s">
        <v>146</v>
      </c>
    </row>
    <row r="491" spans="1:11" x14ac:dyDescent="0.3">
      <c r="A491" s="9">
        <v>45833</v>
      </c>
      <c r="B491" t="s">
        <v>25</v>
      </c>
      <c r="C491" t="s">
        <v>30</v>
      </c>
      <c r="D491" t="s">
        <v>26</v>
      </c>
      <c r="E491" t="s">
        <v>27</v>
      </c>
      <c r="F491">
        <v>193</v>
      </c>
      <c r="G491">
        <v>51.37</v>
      </c>
      <c r="H491">
        <v>9914.41</v>
      </c>
      <c r="I491" t="s">
        <v>28</v>
      </c>
      <c r="J491" t="s">
        <v>47</v>
      </c>
      <c r="K491" t="s">
        <v>148</v>
      </c>
    </row>
    <row r="492" spans="1:11" x14ac:dyDescent="0.3">
      <c r="A492" s="9">
        <v>45833</v>
      </c>
      <c r="B492" t="s">
        <v>18</v>
      </c>
      <c r="C492" t="s">
        <v>38</v>
      </c>
      <c r="D492" t="s">
        <v>21</v>
      </c>
      <c r="E492" t="s">
        <v>22</v>
      </c>
      <c r="F492">
        <v>34</v>
      </c>
      <c r="G492">
        <v>10.64</v>
      </c>
      <c r="H492">
        <v>361.76</v>
      </c>
      <c r="I492" t="s">
        <v>37</v>
      </c>
      <c r="J492" t="s">
        <v>47</v>
      </c>
      <c r="K492" t="s">
        <v>146</v>
      </c>
    </row>
    <row r="493" spans="1:11" x14ac:dyDescent="0.3">
      <c r="A493" s="9">
        <v>45833</v>
      </c>
      <c r="B493" t="s">
        <v>53</v>
      </c>
      <c r="C493" t="s">
        <v>30</v>
      </c>
      <c r="D493" t="s">
        <v>58</v>
      </c>
      <c r="E493" t="s">
        <v>22</v>
      </c>
      <c r="F493">
        <v>115</v>
      </c>
      <c r="G493">
        <v>24.39</v>
      </c>
      <c r="H493">
        <v>2804.85</v>
      </c>
      <c r="I493" t="s">
        <v>147</v>
      </c>
      <c r="J493" t="s">
        <v>16</v>
      </c>
      <c r="K493" t="s">
        <v>151</v>
      </c>
    </row>
    <row r="494" spans="1:11" x14ac:dyDescent="0.3">
      <c r="A494" s="9">
        <v>45834</v>
      </c>
      <c r="B494" t="s">
        <v>25</v>
      </c>
      <c r="C494" t="s">
        <v>12</v>
      </c>
      <c r="D494" t="s">
        <v>59</v>
      </c>
      <c r="E494" t="s">
        <v>50</v>
      </c>
      <c r="F494">
        <v>47</v>
      </c>
      <c r="G494">
        <v>30.31</v>
      </c>
      <c r="H494">
        <v>1424.57</v>
      </c>
      <c r="I494" t="s">
        <v>37</v>
      </c>
      <c r="J494" t="s">
        <v>29</v>
      </c>
      <c r="K494" t="s">
        <v>151</v>
      </c>
    </row>
    <row r="495" spans="1:11" x14ac:dyDescent="0.3">
      <c r="A495" s="9">
        <v>45835</v>
      </c>
      <c r="B495" t="s">
        <v>25</v>
      </c>
      <c r="C495" t="s">
        <v>12</v>
      </c>
      <c r="D495" t="s">
        <v>60</v>
      </c>
      <c r="E495" t="s">
        <v>44</v>
      </c>
      <c r="F495">
        <v>115</v>
      </c>
      <c r="G495">
        <v>124.22</v>
      </c>
      <c r="H495">
        <v>14285.3</v>
      </c>
      <c r="I495" t="s">
        <v>37</v>
      </c>
      <c r="J495" t="s">
        <v>29</v>
      </c>
      <c r="K495" t="s">
        <v>146</v>
      </c>
    </row>
    <row r="496" spans="1:11" x14ac:dyDescent="0.3">
      <c r="A496" s="9">
        <v>45835</v>
      </c>
      <c r="B496" t="s">
        <v>20</v>
      </c>
      <c r="C496" t="s">
        <v>30</v>
      </c>
      <c r="D496" t="s">
        <v>58</v>
      </c>
      <c r="E496" t="s">
        <v>22</v>
      </c>
      <c r="F496">
        <v>40</v>
      </c>
      <c r="G496">
        <v>23.64</v>
      </c>
      <c r="H496">
        <v>945.6</v>
      </c>
      <c r="I496" t="s">
        <v>150</v>
      </c>
      <c r="J496" t="s">
        <v>16</v>
      </c>
      <c r="K496" t="s">
        <v>148</v>
      </c>
    </row>
    <row r="497" spans="1:11" x14ac:dyDescent="0.3">
      <c r="A497" s="9">
        <v>45835</v>
      </c>
      <c r="B497" t="s">
        <v>53</v>
      </c>
      <c r="C497" t="s">
        <v>19</v>
      </c>
      <c r="D497" t="s">
        <v>52</v>
      </c>
      <c r="E497" t="s">
        <v>27</v>
      </c>
      <c r="F497">
        <v>197</v>
      </c>
      <c r="G497">
        <v>50.65</v>
      </c>
      <c r="H497">
        <v>9978.0499999999993</v>
      </c>
      <c r="I497" t="s">
        <v>37</v>
      </c>
      <c r="J497" t="s">
        <v>67</v>
      </c>
      <c r="K497" t="s">
        <v>151</v>
      </c>
    </row>
    <row r="498" spans="1:11" x14ac:dyDescent="0.3">
      <c r="A498" s="9">
        <v>45836</v>
      </c>
      <c r="B498" t="s">
        <v>18</v>
      </c>
      <c r="C498" t="s">
        <v>19</v>
      </c>
      <c r="D498" t="s">
        <v>31</v>
      </c>
      <c r="E498" t="s">
        <v>32</v>
      </c>
      <c r="F498">
        <v>49</v>
      </c>
      <c r="G498">
        <v>12.51</v>
      </c>
      <c r="H498">
        <v>612.99</v>
      </c>
      <c r="I498" t="s">
        <v>28</v>
      </c>
      <c r="J498" t="s">
        <v>16</v>
      </c>
    </row>
    <row r="499" spans="1:11" x14ac:dyDescent="0.3">
      <c r="A499" s="9">
        <v>45836</v>
      </c>
      <c r="B499" t="s">
        <v>11</v>
      </c>
      <c r="C499" t="s">
        <v>38</v>
      </c>
      <c r="D499" t="s">
        <v>59</v>
      </c>
      <c r="E499" t="s">
        <v>50</v>
      </c>
      <c r="F499">
        <v>44</v>
      </c>
      <c r="G499">
        <v>31.33</v>
      </c>
      <c r="H499">
        <v>1378.52</v>
      </c>
      <c r="I499" t="s">
        <v>150</v>
      </c>
      <c r="J499" t="s">
        <v>16</v>
      </c>
      <c r="K499" t="s">
        <v>151</v>
      </c>
    </row>
    <row r="500" spans="1:11" x14ac:dyDescent="0.3">
      <c r="A500" s="9">
        <v>45836</v>
      </c>
      <c r="B500" t="s">
        <v>18</v>
      </c>
      <c r="C500" t="s">
        <v>38</v>
      </c>
      <c r="D500" t="s">
        <v>60</v>
      </c>
      <c r="E500" t="s">
        <v>44</v>
      </c>
      <c r="F500">
        <v>72</v>
      </c>
      <c r="G500">
        <v>118.74</v>
      </c>
      <c r="H500">
        <v>8549.2799999999988</v>
      </c>
      <c r="I500" t="s">
        <v>15</v>
      </c>
      <c r="J500" t="s">
        <v>16</v>
      </c>
    </row>
    <row r="501" spans="1:11" x14ac:dyDescent="0.3">
      <c r="A501" s="9">
        <v>45837</v>
      </c>
      <c r="B501" t="s">
        <v>36</v>
      </c>
      <c r="C501" t="s">
        <v>19</v>
      </c>
      <c r="D501" t="s">
        <v>26</v>
      </c>
      <c r="E501" t="s">
        <v>27</v>
      </c>
      <c r="F501">
        <v>79</v>
      </c>
      <c r="G501">
        <v>58.9</v>
      </c>
      <c r="H501">
        <v>4653.0999999999995</v>
      </c>
      <c r="I501" t="s">
        <v>150</v>
      </c>
      <c r="J501" t="s">
        <v>16</v>
      </c>
      <c r="K501" t="s">
        <v>146</v>
      </c>
    </row>
    <row r="502" spans="1:11" x14ac:dyDescent="0.3">
      <c r="A502" s="9">
        <v>45837</v>
      </c>
      <c r="B502" t="s">
        <v>18</v>
      </c>
      <c r="C502" t="s">
        <v>19</v>
      </c>
      <c r="D502" t="s">
        <v>39</v>
      </c>
      <c r="E502" t="s">
        <v>40</v>
      </c>
      <c r="F502">
        <v>107</v>
      </c>
      <c r="G502">
        <v>54.43</v>
      </c>
      <c r="H502">
        <v>5824.01</v>
      </c>
      <c r="I502" t="s">
        <v>28</v>
      </c>
      <c r="J502" t="s">
        <v>16</v>
      </c>
      <c r="K502" t="s">
        <v>151</v>
      </c>
    </row>
    <row r="503" spans="1:11" x14ac:dyDescent="0.3">
      <c r="A503" s="9">
        <v>45837</v>
      </c>
      <c r="B503" t="s">
        <v>53</v>
      </c>
      <c r="C503" t="s">
        <v>19</v>
      </c>
      <c r="D503" t="s">
        <v>52</v>
      </c>
      <c r="E503" t="s">
        <v>27</v>
      </c>
      <c r="F503">
        <v>118</v>
      </c>
      <c r="G503">
        <v>46.05</v>
      </c>
      <c r="H503">
        <v>5433.9</v>
      </c>
      <c r="I503" t="s">
        <v>15</v>
      </c>
      <c r="J503" t="s">
        <v>16</v>
      </c>
      <c r="K503" t="s">
        <v>148</v>
      </c>
    </row>
    <row r="504" spans="1:11" x14ac:dyDescent="0.3">
      <c r="A504" s="9">
        <v>45836</v>
      </c>
      <c r="B504" t="s">
        <v>34</v>
      </c>
      <c r="C504" t="s">
        <v>45</v>
      </c>
      <c r="D504" t="s">
        <v>59</v>
      </c>
      <c r="E504" t="s">
        <v>50</v>
      </c>
      <c r="F504">
        <v>40</v>
      </c>
      <c r="G504">
        <v>30.32</v>
      </c>
      <c r="H504">
        <v>1212.8</v>
      </c>
      <c r="I504" t="s">
        <v>28</v>
      </c>
      <c r="J504" t="s">
        <v>16</v>
      </c>
    </row>
    <row r="505" spans="1:11" x14ac:dyDescent="0.3">
      <c r="A505" s="9">
        <v>45716</v>
      </c>
      <c r="B505" t="s">
        <v>36</v>
      </c>
      <c r="C505" t="s">
        <v>38</v>
      </c>
      <c r="D505" t="s">
        <v>31</v>
      </c>
      <c r="E505" t="s">
        <v>32</v>
      </c>
      <c r="F505">
        <v>13</v>
      </c>
      <c r="G505">
        <v>11.28</v>
      </c>
      <c r="H505">
        <v>146.63999999999999</v>
      </c>
      <c r="I505" t="s">
        <v>15</v>
      </c>
      <c r="J505" t="s">
        <v>67</v>
      </c>
      <c r="K505" t="s">
        <v>146</v>
      </c>
    </row>
    <row r="506" spans="1:11" x14ac:dyDescent="0.3">
      <c r="A506" s="9">
        <v>45733</v>
      </c>
      <c r="B506" t="s">
        <v>53</v>
      </c>
      <c r="C506" t="s">
        <v>45</v>
      </c>
      <c r="D506" t="s">
        <v>59</v>
      </c>
      <c r="E506" t="s">
        <v>50</v>
      </c>
      <c r="F506">
        <v>148</v>
      </c>
      <c r="G506">
        <v>31.84</v>
      </c>
      <c r="H506">
        <v>4712.32</v>
      </c>
      <c r="I506" t="s">
        <v>37</v>
      </c>
      <c r="J506" t="s">
        <v>47</v>
      </c>
    </row>
    <row r="507" spans="1:11" x14ac:dyDescent="0.3">
      <c r="A507" s="9">
        <v>45795</v>
      </c>
      <c r="B507" t="s">
        <v>56</v>
      </c>
      <c r="C507" t="s">
        <v>45</v>
      </c>
      <c r="D507" t="s">
        <v>21</v>
      </c>
      <c r="E507" t="s">
        <v>22</v>
      </c>
      <c r="F507">
        <v>71</v>
      </c>
      <c r="G507">
        <v>9.67</v>
      </c>
      <c r="H507">
        <v>686.57</v>
      </c>
      <c r="I507" t="s">
        <v>147</v>
      </c>
      <c r="J507" t="s">
        <v>47</v>
      </c>
    </row>
    <row r="508" spans="1:11" x14ac:dyDescent="0.3">
      <c r="A508" s="9">
        <v>45750</v>
      </c>
      <c r="B508" t="s">
        <v>53</v>
      </c>
      <c r="C508" t="s">
        <v>45</v>
      </c>
      <c r="D508" t="s">
        <v>52</v>
      </c>
      <c r="E508" t="s">
        <v>27</v>
      </c>
      <c r="F508">
        <v>139</v>
      </c>
      <c r="G508">
        <v>48.06</v>
      </c>
      <c r="H508">
        <v>6680.34</v>
      </c>
      <c r="I508" t="s">
        <v>15</v>
      </c>
      <c r="J508" t="s">
        <v>16</v>
      </c>
      <c r="K508" t="s">
        <v>148</v>
      </c>
    </row>
    <row r="509" spans="1:11" x14ac:dyDescent="0.3">
      <c r="A509" s="9">
        <v>45693</v>
      </c>
      <c r="B509" t="s">
        <v>36</v>
      </c>
      <c r="C509" t="s">
        <v>12</v>
      </c>
      <c r="D509" t="s">
        <v>48</v>
      </c>
      <c r="E509" t="s">
        <v>14</v>
      </c>
      <c r="F509">
        <v>176</v>
      </c>
      <c r="G509">
        <v>91.26</v>
      </c>
      <c r="H509">
        <v>16061.76</v>
      </c>
      <c r="I509" t="s">
        <v>150</v>
      </c>
      <c r="J509" t="s">
        <v>47</v>
      </c>
      <c r="K509" t="s">
        <v>148</v>
      </c>
    </row>
    <row r="510" spans="1:11" x14ac:dyDescent="0.3">
      <c r="A510" s="9">
        <v>45800</v>
      </c>
      <c r="B510" t="s">
        <v>36</v>
      </c>
      <c r="C510" t="s">
        <v>38</v>
      </c>
      <c r="D510" t="s">
        <v>35</v>
      </c>
      <c r="E510" t="s">
        <v>32</v>
      </c>
      <c r="F510">
        <v>164</v>
      </c>
      <c r="G510">
        <v>14</v>
      </c>
      <c r="H510">
        <v>2296</v>
      </c>
      <c r="I510" t="s">
        <v>147</v>
      </c>
      <c r="J510" t="s">
        <v>16</v>
      </c>
    </row>
    <row r="511" spans="1:11" x14ac:dyDescent="0.3">
      <c r="A511" s="9">
        <v>45680</v>
      </c>
      <c r="B511" t="s">
        <v>25</v>
      </c>
      <c r="C511" t="s">
        <v>12</v>
      </c>
      <c r="D511" t="s">
        <v>26</v>
      </c>
      <c r="E511" t="s">
        <v>27</v>
      </c>
      <c r="F511">
        <v>152</v>
      </c>
      <c r="G511">
        <v>54.19</v>
      </c>
      <c r="H511">
        <v>8236.8799999999992</v>
      </c>
      <c r="I511" t="s">
        <v>15</v>
      </c>
      <c r="J511" t="s">
        <v>16</v>
      </c>
      <c r="K511" t="s">
        <v>149</v>
      </c>
    </row>
    <row r="512" spans="1:11" x14ac:dyDescent="0.3">
      <c r="A512" s="9">
        <v>45712</v>
      </c>
      <c r="B512" t="s">
        <v>11</v>
      </c>
      <c r="C512" t="s">
        <v>30</v>
      </c>
      <c r="D512" t="s">
        <v>43</v>
      </c>
      <c r="E512" t="s">
        <v>44</v>
      </c>
      <c r="F512">
        <v>161</v>
      </c>
      <c r="G512">
        <v>133.74</v>
      </c>
      <c r="H512">
        <v>21532.140000000003</v>
      </c>
      <c r="I512" t="s">
        <v>28</v>
      </c>
      <c r="J512" t="s">
        <v>16</v>
      </c>
    </row>
    <row r="513" spans="1:11" x14ac:dyDescent="0.3">
      <c r="A513" s="9">
        <v>45741</v>
      </c>
      <c r="B513" t="s">
        <v>25</v>
      </c>
      <c r="C513" t="s">
        <v>30</v>
      </c>
      <c r="D513" t="s">
        <v>39</v>
      </c>
      <c r="E513" t="s">
        <v>40</v>
      </c>
      <c r="F513">
        <v>73</v>
      </c>
      <c r="G513">
        <v>54.09</v>
      </c>
      <c r="H513">
        <v>3948.57</v>
      </c>
      <c r="I513" t="s">
        <v>147</v>
      </c>
      <c r="J513" t="s">
        <v>16</v>
      </c>
      <c r="K513" t="s">
        <v>146</v>
      </c>
    </row>
    <row r="514" spans="1:11" x14ac:dyDescent="0.3">
      <c r="A514" s="9">
        <v>45798</v>
      </c>
      <c r="B514" t="s">
        <v>20</v>
      </c>
      <c r="C514" t="s">
        <v>30</v>
      </c>
      <c r="D514" t="s">
        <v>26</v>
      </c>
      <c r="E514" t="s">
        <v>27</v>
      </c>
      <c r="F514">
        <v>36</v>
      </c>
      <c r="G514">
        <v>51.83</v>
      </c>
      <c r="H514">
        <v>1865.8799999999999</v>
      </c>
      <c r="I514" t="s">
        <v>15</v>
      </c>
      <c r="J514" t="s">
        <v>16</v>
      </c>
      <c r="K514" t="s">
        <v>151</v>
      </c>
    </row>
    <row r="515" spans="1:11" x14ac:dyDescent="0.3">
      <c r="A515" s="9">
        <v>45757</v>
      </c>
      <c r="B515" t="s">
        <v>18</v>
      </c>
      <c r="C515" t="s">
        <v>45</v>
      </c>
      <c r="D515" t="s">
        <v>48</v>
      </c>
      <c r="E515" t="s">
        <v>14</v>
      </c>
      <c r="F515">
        <v>80</v>
      </c>
      <c r="G515">
        <v>90.67</v>
      </c>
      <c r="H515">
        <v>7253.6</v>
      </c>
      <c r="I515" t="s">
        <v>37</v>
      </c>
      <c r="J515" t="s">
        <v>47</v>
      </c>
      <c r="K515" t="s">
        <v>149</v>
      </c>
    </row>
    <row r="516" spans="1:11" x14ac:dyDescent="0.3">
      <c r="A516" s="9">
        <v>45702</v>
      </c>
      <c r="B516" t="s">
        <v>34</v>
      </c>
      <c r="C516" t="s">
        <v>12</v>
      </c>
      <c r="D516" t="s">
        <v>43</v>
      </c>
      <c r="E516" t="s">
        <v>44</v>
      </c>
      <c r="F516">
        <v>168</v>
      </c>
      <c r="G516">
        <v>134.03</v>
      </c>
      <c r="H516">
        <v>22517.040000000001</v>
      </c>
      <c r="I516" t="s">
        <v>150</v>
      </c>
      <c r="J516" t="s">
        <v>16</v>
      </c>
      <c r="K516" t="s">
        <v>146</v>
      </c>
    </row>
    <row r="517" spans="1:11" x14ac:dyDescent="0.3">
      <c r="A517" s="9">
        <v>45807</v>
      </c>
      <c r="B517" t="s">
        <v>18</v>
      </c>
      <c r="C517" t="s">
        <v>45</v>
      </c>
      <c r="D517" t="s">
        <v>31</v>
      </c>
      <c r="E517" t="s">
        <v>32</v>
      </c>
      <c r="F517">
        <v>118</v>
      </c>
      <c r="G517">
        <v>12.04</v>
      </c>
      <c r="H517">
        <v>1420.7199999999998</v>
      </c>
      <c r="I517" t="s">
        <v>150</v>
      </c>
      <c r="J517" t="s">
        <v>16</v>
      </c>
    </row>
    <row r="518" spans="1:11" x14ac:dyDescent="0.3">
      <c r="A518" s="9">
        <v>45728</v>
      </c>
      <c r="B518" t="s">
        <v>18</v>
      </c>
      <c r="C518" t="s">
        <v>19</v>
      </c>
      <c r="D518" t="s">
        <v>58</v>
      </c>
      <c r="E518" t="s">
        <v>22</v>
      </c>
      <c r="F518">
        <v>111</v>
      </c>
      <c r="G518">
        <v>23.8</v>
      </c>
      <c r="H518">
        <v>2641.8</v>
      </c>
      <c r="I518" t="s">
        <v>147</v>
      </c>
      <c r="J518" t="s">
        <v>16</v>
      </c>
      <c r="K518" t="s">
        <v>152</v>
      </c>
    </row>
    <row r="519" spans="1:11" x14ac:dyDescent="0.3">
      <c r="A519" s="9">
        <v>45721</v>
      </c>
      <c r="B519" t="s">
        <v>34</v>
      </c>
      <c r="C519" t="s">
        <v>12</v>
      </c>
      <c r="D519" t="s">
        <v>58</v>
      </c>
      <c r="E519" t="s">
        <v>22</v>
      </c>
      <c r="F519">
        <v>42</v>
      </c>
      <c r="G519">
        <v>26.35</v>
      </c>
      <c r="H519">
        <v>1106.7</v>
      </c>
      <c r="I519" t="s">
        <v>150</v>
      </c>
      <c r="J519" t="s">
        <v>16</v>
      </c>
      <c r="K519" t="s">
        <v>152</v>
      </c>
    </row>
    <row r="520" spans="1:11" x14ac:dyDescent="0.3">
      <c r="A520" s="9">
        <v>45837</v>
      </c>
      <c r="B520" t="s">
        <v>11</v>
      </c>
      <c r="C520" t="s">
        <v>38</v>
      </c>
      <c r="D520" t="s">
        <v>48</v>
      </c>
      <c r="E520" t="s">
        <v>14</v>
      </c>
      <c r="F520">
        <v>14</v>
      </c>
      <c r="G520">
        <v>91.39</v>
      </c>
      <c r="H520">
        <v>1279.46</v>
      </c>
      <c r="I520" t="s">
        <v>37</v>
      </c>
      <c r="J520" t="s">
        <v>16</v>
      </c>
    </row>
    <row r="521" spans="1:11" x14ac:dyDescent="0.3">
      <c r="A521" s="9">
        <v>45667</v>
      </c>
      <c r="B521" t="s">
        <v>11</v>
      </c>
      <c r="C521" t="s">
        <v>12</v>
      </c>
      <c r="D521" t="s">
        <v>39</v>
      </c>
      <c r="E521" t="s">
        <v>40</v>
      </c>
      <c r="F521">
        <v>143</v>
      </c>
      <c r="G521">
        <v>53.34</v>
      </c>
      <c r="H521">
        <v>7627.6200000000008</v>
      </c>
      <c r="I521" t="s">
        <v>147</v>
      </c>
      <c r="J521" t="s">
        <v>16</v>
      </c>
    </row>
    <row r="522" spans="1:11" x14ac:dyDescent="0.3">
      <c r="A522" s="9">
        <v>45731</v>
      </c>
      <c r="B522" t="s">
        <v>11</v>
      </c>
      <c r="C522" t="s">
        <v>12</v>
      </c>
      <c r="D522" t="s">
        <v>58</v>
      </c>
      <c r="E522" t="s">
        <v>22</v>
      </c>
      <c r="F522">
        <v>90</v>
      </c>
      <c r="G522">
        <v>25.73</v>
      </c>
      <c r="H522">
        <v>2315.6999999999998</v>
      </c>
      <c r="I522" t="s">
        <v>150</v>
      </c>
      <c r="J522" t="s">
        <v>16</v>
      </c>
      <c r="K522" t="s">
        <v>148</v>
      </c>
    </row>
    <row r="523" spans="1:11" x14ac:dyDescent="0.3">
      <c r="A523" s="9">
        <v>45776</v>
      </c>
      <c r="B523" t="s">
        <v>25</v>
      </c>
      <c r="C523" t="s">
        <v>12</v>
      </c>
      <c r="D523" t="s">
        <v>43</v>
      </c>
      <c r="E523" t="s">
        <v>44</v>
      </c>
      <c r="F523">
        <v>104</v>
      </c>
      <c r="G523">
        <v>134.24</v>
      </c>
      <c r="H523">
        <v>13960.960000000001</v>
      </c>
      <c r="I523" t="s">
        <v>150</v>
      </c>
      <c r="J523" t="s">
        <v>29</v>
      </c>
    </row>
    <row r="524" spans="1:11" x14ac:dyDescent="0.3">
      <c r="A524" s="9">
        <v>45735</v>
      </c>
      <c r="B524" t="s">
        <v>34</v>
      </c>
      <c r="C524" t="s">
        <v>12</v>
      </c>
      <c r="D524" t="s">
        <v>52</v>
      </c>
      <c r="E524" t="s">
        <v>27</v>
      </c>
      <c r="F524">
        <v>199</v>
      </c>
      <c r="G524">
        <v>44.37</v>
      </c>
      <c r="H524">
        <v>8829.6299999999992</v>
      </c>
      <c r="I524" t="s">
        <v>28</v>
      </c>
      <c r="J524" t="s">
        <v>29</v>
      </c>
      <c r="K524" t="s">
        <v>148</v>
      </c>
    </row>
    <row r="525" spans="1:11" x14ac:dyDescent="0.3">
      <c r="A525" s="9">
        <v>45834</v>
      </c>
      <c r="B525" t="s">
        <v>53</v>
      </c>
      <c r="C525" t="s">
        <v>12</v>
      </c>
      <c r="D525" t="s">
        <v>26</v>
      </c>
      <c r="E525" t="s">
        <v>27</v>
      </c>
      <c r="F525">
        <v>29</v>
      </c>
      <c r="G525">
        <v>51.75</v>
      </c>
      <c r="H525">
        <v>1500.75</v>
      </c>
      <c r="I525" t="s">
        <v>150</v>
      </c>
      <c r="J525" t="s">
        <v>16</v>
      </c>
      <c r="K525" t="s">
        <v>152</v>
      </c>
    </row>
    <row r="526" spans="1:11" x14ac:dyDescent="0.3">
      <c r="A526" s="9">
        <v>45782</v>
      </c>
      <c r="B526" t="s">
        <v>18</v>
      </c>
      <c r="C526" t="s">
        <v>12</v>
      </c>
      <c r="D526" t="s">
        <v>58</v>
      </c>
      <c r="E526" t="s">
        <v>22</v>
      </c>
      <c r="F526">
        <v>19</v>
      </c>
      <c r="G526">
        <v>24.09</v>
      </c>
      <c r="H526">
        <v>457.71</v>
      </c>
      <c r="I526" t="s">
        <v>28</v>
      </c>
      <c r="J526" t="s">
        <v>16</v>
      </c>
    </row>
    <row r="527" spans="1:11" x14ac:dyDescent="0.3">
      <c r="A527" s="9">
        <v>45748</v>
      </c>
      <c r="B527" t="s">
        <v>18</v>
      </c>
      <c r="C527" t="s">
        <v>45</v>
      </c>
      <c r="D527" t="s">
        <v>39</v>
      </c>
      <c r="E527" t="s">
        <v>40</v>
      </c>
      <c r="F527">
        <v>150</v>
      </c>
      <c r="G527">
        <v>54.59</v>
      </c>
      <c r="H527">
        <v>8188.5000000000009</v>
      </c>
      <c r="I527" t="s">
        <v>15</v>
      </c>
      <c r="J527" t="s">
        <v>69</v>
      </c>
    </row>
    <row r="528" spans="1:11" x14ac:dyDescent="0.3">
      <c r="A528" s="9">
        <v>45663</v>
      </c>
      <c r="B528" t="s">
        <v>20</v>
      </c>
      <c r="C528" t="s">
        <v>30</v>
      </c>
      <c r="D528" t="s">
        <v>26</v>
      </c>
      <c r="E528" t="s">
        <v>27</v>
      </c>
      <c r="F528">
        <v>60</v>
      </c>
      <c r="G528">
        <v>58.1</v>
      </c>
      <c r="H528">
        <v>3486</v>
      </c>
      <c r="I528" t="s">
        <v>37</v>
      </c>
      <c r="J528" t="s">
        <v>47</v>
      </c>
      <c r="K528" t="s">
        <v>151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E589-0738-4E1B-9CEF-0C5D102F055B}">
  <sheetPr>
    <tabColor theme="0" tint="-0.499984740745262"/>
  </sheetPr>
  <dimension ref="A3:K30"/>
  <sheetViews>
    <sheetView workbookViewId="0">
      <selection activeCell="K4" sqref="K4"/>
    </sheetView>
  </sheetViews>
  <sheetFormatPr defaultRowHeight="14.4" x14ac:dyDescent="0.3"/>
  <cols>
    <col min="1" max="1" width="12.5546875" bestFit="1" customWidth="1"/>
    <col min="2" max="2" width="13.21875" bestFit="1" customWidth="1"/>
    <col min="4" max="4" width="12.5546875" bestFit="1" customWidth="1"/>
    <col min="5" max="5" width="17" bestFit="1" customWidth="1"/>
    <col min="10" max="10" width="14.33203125" bestFit="1" customWidth="1"/>
    <col min="11" max="11" width="18" customWidth="1"/>
  </cols>
  <sheetData>
    <row r="3" spans="1:11" x14ac:dyDescent="0.3">
      <c r="J3" s="16" t="s">
        <v>187</v>
      </c>
      <c r="K3" s="47" t="s">
        <v>179</v>
      </c>
    </row>
    <row r="4" spans="1:11" x14ac:dyDescent="0.3">
      <c r="A4" s="16" t="s">
        <v>1</v>
      </c>
      <c r="B4" s="18" t="s">
        <v>166</v>
      </c>
      <c r="J4" s="17" t="s">
        <v>45</v>
      </c>
      <c r="K4" s="46">
        <v>683033.03</v>
      </c>
    </row>
    <row r="5" spans="1:11" x14ac:dyDescent="0.3">
      <c r="A5" s="17" t="s">
        <v>36</v>
      </c>
      <c r="B5" s="18">
        <v>297860.17000000004</v>
      </c>
      <c r="J5" s="17" t="s">
        <v>19</v>
      </c>
      <c r="K5" s="46">
        <v>495598.54999999987</v>
      </c>
    </row>
    <row r="6" spans="1:11" x14ac:dyDescent="0.3">
      <c r="A6" s="17" t="s">
        <v>56</v>
      </c>
      <c r="B6" s="18">
        <v>333990.34000000008</v>
      </c>
      <c r="J6" s="17" t="s">
        <v>30</v>
      </c>
      <c r="K6" s="46">
        <v>609800.45999999973</v>
      </c>
    </row>
    <row r="7" spans="1:11" x14ac:dyDescent="0.3">
      <c r="A7" s="17" t="s">
        <v>20</v>
      </c>
      <c r="B7" s="18">
        <v>369279.84999999992</v>
      </c>
      <c r="J7" s="17" t="s">
        <v>38</v>
      </c>
      <c r="K7" s="46">
        <v>477255.82</v>
      </c>
    </row>
    <row r="8" spans="1:11" x14ac:dyDescent="0.3">
      <c r="A8" s="17" t="s">
        <v>34</v>
      </c>
      <c r="B8" s="18">
        <v>373473.13999999996</v>
      </c>
      <c r="J8" s="17" t="s">
        <v>12</v>
      </c>
      <c r="K8" s="46">
        <v>752354.05999999994</v>
      </c>
    </row>
    <row r="9" spans="1:11" x14ac:dyDescent="0.3">
      <c r="A9" s="17" t="s">
        <v>18</v>
      </c>
      <c r="B9" s="18">
        <v>379765.34000000008</v>
      </c>
      <c r="J9" s="17" t="s">
        <v>165</v>
      </c>
      <c r="K9" s="46">
        <v>3018041.9199999995</v>
      </c>
    </row>
    <row r="10" spans="1:11" x14ac:dyDescent="0.3">
      <c r="A10" s="17" t="s">
        <v>53</v>
      </c>
      <c r="B10" s="18">
        <v>385354.06999999989</v>
      </c>
    </row>
    <row r="11" spans="1:11" x14ac:dyDescent="0.3">
      <c r="A11" s="17" t="s">
        <v>11</v>
      </c>
      <c r="B11" s="18">
        <v>403087.31000000011</v>
      </c>
      <c r="J11" s="16" t="s">
        <v>164</v>
      </c>
      <c r="K11" s="18" t="s">
        <v>166</v>
      </c>
    </row>
    <row r="12" spans="1:11" x14ac:dyDescent="0.3">
      <c r="A12" s="17" t="s">
        <v>25</v>
      </c>
      <c r="B12" s="18">
        <v>475231.69999999984</v>
      </c>
      <c r="J12" s="17" t="s">
        <v>167</v>
      </c>
      <c r="K12" s="18">
        <v>569636.06999999995</v>
      </c>
    </row>
    <row r="13" spans="1:11" x14ac:dyDescent="0.3">
      <c r="A13" s="17" t="s">
        <v>165</v>
      </c>
      <c r="B13" s="18">
        <v>3018041.92</v>
      </c>
      <c r="D13" s="16" t="s">
        <v>164</v>
      </c>
      <c r="E13" t="s">
        <v>166</v>
      </c>
      <c r="J13" s="17" t="s">
        <v>168</v>
      </c>
      <c r="K13" s="18">
        <v>444725.03999999986</v>
      </c>
    </row>
    <row r="14" spans="1:11" x14ac:dyDescent="0.3">
      <c r="D14" s="17" t="s">
        <v>50</v>
      </c>
      <c r="E14" s="18">
        <v>199557.24000000005</v>
      </c>
      <c r="J14" s="17" t="s">
        <v>169</v>
      </c>
      <c r="K14" s="18">
        <v>483110.71999999991</v>
      </c>
    </row>
    <row r="15" spans="1:11" x14ac:dyDescent="0.3">
      <c r="A15" s="16" t="s">
        <v>164</v>
      </c>
      <c r="B15" t="s">
        <v>179</v>
      </c>
      <c r="D15" s="17" t="s">
        <v>22</v>
      </c>
      <c r="E15" s="18">
        <v>159123.75999999998</v>
      </c>
      <c r="J15" s="17" t="s">
        <v>170</v>
      </c>
      <c r="K15" s="18">
        <v>467015.16999999981</v>
      </c>
    </row>
    <row r="16" spans="1:11" x14ac:dyDescent="0.3">
      <c r="A16" s="17" t="s">
        <v>39</v>
      </c>
      <c r="B16" s="18">
        <v>211627.86</v>
      </c>
      <c r="D16" s="17" t="s">
        <v>40</v>
      </c>
      <c r="E16" s="18">
        <v>211627.86</v>
      </c>
      <c r="J16" s="17" t="s">
        <v>171</v>
      </c>
      <c r="K16" s="18">
        <v>476531.28999999992</v>
      </c>
    </row>
    <row r="17" spans="1:11" x14ac:dyDescent="0.3">
      <c r="A17" s="17" t="s">
        <v>43</v>
      </c>
      <c r="B17" s="18">
        <v>649078.46</v>
      </c>
      <c r="D17" s="17" t="s">
        <v>44</v>
      </c>
      <c r="E17" s="18">
        <v>1365061.43</v>
      </c>
      <c r="J17" s="17" t="s">
        <v>172</v>
      </c>
      <c r="K17" s="18">
        <v>577023.62999999989</v>
      </c>
    </row>
    <row r="18" spans="1:11" x14ac:dyDescent="0.3">
      <c r="A18" s="17" t="s">
        <v>49</v>
      </c>
      <c r="B18" s="18">
        <v>48930.41</v>
      </c>
      <c r="D18" s="17" t="s">
        <v>14</v>
      </c>
      <c r="E18" s="18">
        <v>544584.73999999976</v>
      </c>
      <c r="J18" s="17" t="s">
        <v>165</v>
      </c>
      <c r="K18" s="18">
        <v>3018041.9199999995</v>
      </c>
    </row>
    <row r="19" spans="1:11" x14ac:dyDescent="0.3">
      <c r="A19" s="17" t="s">
        <v>58</v>
      </c>
      <c r="B19" s="18">
        <v>110161.78000000001</v>
      </c>
      <c r="D19" s="17" t="s">
        <v>32</v>
      </c>
      <c r="E19" s="18">
        <v>112657.65999999997</v>
      </c>
    </row>
    <row r="20" spans="1:11" x14ac:dyDescent="0.3">
      <c r="A20" s="17" t="s">
        <v>26</v>
      </c>
      <c r="B20" s="18">
        <v>187545.86</v>
      </c>
      <c r="D20" s="17" t="s">
        <v>27</v>
      </c>
      <c r="E20" s="18">
        <v>425429.23</v>
      </c>
    </row>
    <row r="21" spans="1:11" x14ac:dyDescent="0.3">
      <c r="A21" s="17" t="s">
        <v>48</v>
      </c>
      <c r="B21" s="18">
        <v>380196.73999999987</v>
      </c>
      <c r="D21" s="17" t="s">
        <v>165</v>
      </c>
      <c r="E21" s="18">
        <v>3018041.92</v>
      </c>
    </row>
    <row r="22" spans="1:11" x14ac:dyDescent="0.3">
      <c r="A22" s="17" t="s">
        <v>13</v>
      </c>
      <c r="B22" s="18">
        <v>164388</v>
      </c>
    </row>
    <row r="23" spans="1:11" x14ac:dyDescent="0.3">
      <c r="A23" s="17" t="s">
        <v>35</v>
      </c>
      <c r="B23" s="18">
        <v>56010.30000000001</v>
      </c>
    </row>
    <row r="24" spans="1:11" x14ac:dyDescent="0.3">
      <c r="A24" s="17" t="s">
        <v>59</v>
      </c>
      <c r="B24" s="18">
        <v>150626.83000000002</v>
      </c>
    </row>
    <row r="25" spans="1:11" x14ac:dyDescent="0.3">
      <c r="A25" s="17" t="s">
        <v>21</v>
      </c>
      <c r="B25" s="18">
        <v>48961.98</v>
      </c>
    </row>
    <row r="26" spans="1:11" x14ac:dyDescent="0.3">
      <c r="A26" s="17" t="s">
        <v>52</v>
      </c>
      <c r="B26" s="18">
        <v>237883.37</v>
      </c>
    </row>
    <row r="27" spans="1:11" x14ac:dyDescent="0.3">
      <c r="A27" s="17" t="s">
        <v>60</v>
      </c>
      <c r="B27" s="18">
        <v>468532.90999999992</v>
      </c>
    </row>
    <row r="28" spans="1:11" x14ac:dyDescent="0.3">
      <c r="A28" s="17" t="s">
        <v>54</v>
      </c>
      <c r="B28" s="18">
        <v>247450.06</v>
      </c>
    </row>
    <row r="29" spans="1:11" x14ac:dyDescent="0.3">
      <c r="A29" s="17" t="s">
        <v>31</v>
      </c>
      <c r="B29" s="18">
        <v>56647.359999999993</v>
      </c>
    </row>
    <row r="30" spans="1:11" x14ac:dyDescent="0.3">
      <c r="A30" s="17" t="s">
        <v>165</v>
      </c>
      <c r="B30" s="18">
        <v>3018041.92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B8545-E58B-4B41-942E-0DA4CDDC51A9}">
  <sheetPr>
    <tabColor rgb="FF0070C0"/>
  </sheetPr>
  <dimension ref="A1:B12"/>
  <sheetViews>
    <sheetView workbookViewId="0">
      <selection activeCell="F14" sqref="F14"/>
    </sheetView>
  </sheetViews>
  <sheetFormatPr defaultRowHeight="14.4" x14ac:dyDescent="0.3"/>
  <cols>
    <col min="1" max="1" width="28.88671875" customWidth="1"/>
    <col min="2" max="2" width="12.88671875" bestFit="1" customWidth="1"/>
  </cols>
  <sheetData>
    <row r="1" spans="1:2" ht="21" customHeight="1" x14ac:dyDescent="0.4">
      <c r="A1" s="12" t="s">
        <v>153</v>
      </c>
    </row>
    <row r="2" spans="1:2" ht="15.6" x14ac:dyDescent="0.3">
      <c r="A2" s="13" t="s">
        <v>154</v>
      </c>
    </row>
    <row r="3" spans="1:2" x14ac:dyDescent="0.3">
      <c r="A3" t="s">
        <v>0</v>
      </c>
      <c r="B3" s="39">
        <v>45658</v>
      </c>
    </row>
    <row r="5" spans="1:2" ht="18" x14ac:dyDescent="0.3">
      <c r="A5" s="15" t="s">
        <v>155</v>
      </c>
      <c r="B5" s="15" t="s">
        <v>156</v>
      </c>
    </row>
    <row r="6" spans="1:2" x14ac:dyDescent="0.3">
      <c r="A6" s="40" t="s">
        <v>157</v>
      </c>
      <c r="B6" s="41">
        <f>SUMIFS(Clean_Sales[Total_Sales],Clean_Sales[Status],"delivered",Clean_Sales[Date],B3)</f>
        <v>5313.26</v>
      </c>
    </row>
    <row r="7" spans="1:2" x14ac:dyDescent="0.3">
      <c r="A7" s="40" t="s">
        <v>158</v>
      </c>
      <c r="B7" s="40">
        <f>COUNTIF(Clean_Sales[Date],B3)</f>
        <v>1</v>
      </c>
    </row>
    <row r="8" spans="1:2" x14ac:dyDescent="0.3">
      <c r="A8" s="40" t="s">
        <v>163</v>
      </c>
      <c r="B8" s="40">
        <f>COUNTIFS(Clean_Sales[Date],B3,Clean_Sales[Status],"delivered")</f>
        <v>1</v>
      </c>
    </row>
    <row r="9" spans="1:2" x14ac:dyDescent="0.3">
      <c r="A9" s="40" t="s">
        <v>159</v>
      </c>
      <c r="B9" s="40">
        <f>COUNTIFS(Clean_Sales[Date],B3,Clean_Sales[Status],"pending")</f>
        <v>0</v>
      </c>
    </row>
    <row r="10" spans="1:2" x14ac:dyDescent="0.3">
      <c r="A10" s="40" t="s">
        <v>160</v>
      </c>
      <c r="B10" s="40">
        <f>COUNTIFS(Clean_Sales[Date],B3,Clean_Sales[Status],"cancelled")</f>
        <v>0</v>
      </c>
    </row>
    <row r="11" spans="1:2" x14ac:dyDescent="0.3">
      <c r="A11" s="40" t="s">
        <v>161</v>
      </c>
      <c r="B11" s="40" t="str">
        <f>IFERROR(INDEX(Clean_Sales[Salesman_Name],MATCH(_xlfn.MAXIFS(Clean_Sales[Total_Sales],Clean_Sales[Date],B3),Clean_Sales[Total_Sales],0)),"No Data")</f>
        <v>Kavita Joshi</v>
      </c>
    </row>
    <row r="12" spans="1:2" x14ac:dyDescent="0.3">
      <c r="A12" s="40" t="s">
        <v>162</v>
      </c>
      <c r="B12" s="40" t="str">
        <f>IFERROR(INDEX(Clean_Sales[Product],MATCH(_xlfn.MAXIFS(Clean_Sales[Total_Sales],Clean_Sales[Date],B3),Clean_Sales[Total_Sales],0)),"No Data")</f>
        <v>Lifebuoy</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37C6-0D6C-4BEA-9710-338307A1C716}">
  <sheetPr>
    <tabColor rgb="FF0070C0"/>
  </sheetPr>
  <dimension ref="A1:G24"/>
  <sheetViews>
    <sheetView workbookViewId="0">
      <selection activeCell="B7" sqref="B7"/>
    </sheetView>
  </sheetViews>
  <sheetFormatPr defaultRowHeight="14.4" x14ac:dyDescent="0.3"/>
  <cols>
    <col min="1" max="1" width="32.77734375" customWidth="1"/>
    <col min="2" max="2" width="12.88671875" bestFit="1" customWidth="1"/>
  </cols>
  <sheetData>
    <row r="1" spans="1:7" ht="21" x14ac:dyDescent="0.4">
      <c r="A1" s="19" t="s">
        <v>153</v>
      </c>
    </row>
    <row r="2" spans="1:7" ht="18" x14ac:dyDescent="0.35">
      <c r="A2" s="14" t="s">
        <v>173</v>
      </c>
    </row>
    <row r="3" spans="1:7" x14ac:dyDescent="0.3">
      <c r="A3" t="s">
        <v>188</v>
      </c>
      <c r="B3" s="38">
        <v>45658</v>
      </c>
      <c r="G3">
        <f>SUM(Clean_Sales[Total_Sales])</f>
        <v>3018041.9199999971</v>
      </c>
    </row>
    <row r="4" spans="1:7" x14ac:dyDescent="0.3">
      <c r="A4" t="s">
        <v>189</v>
      </c>
      <c r="B4" s="38">
        <v>45664</v>
      </c>
      <c r="G4">
        <f>COUNTIF(Clean_Sales[Salesman_Name],A17)</f>
        <v>58</v>
      </c>
    </row>
    <row r="6" spans="1:7" x14ac:dyDescent="0.3">
      <c r="A6" s="20" t="s">
        <v>155</v>
      </c>
      <c r="B6" s="20" t="s">
        <v>156</v>
      </c>
    </row>
    <row r="7" spans="1:7" x14ac:dyDescent="0.3">
      <c r="A7" s="24" t="s">
        <v>157</v>
      </c>
      <c r="B7" s="25">
        <f>SUMIFS(Clean_Sales[Total_Sales],Clean_Sales[Status],"delivered",Clean_Sales[Date],"&gt;="&amp;B3,Clean_Sales[Date],"&lt;="&amp;B4)</f>
        <v>95881.569999999992</v>
      </c>
    </row>
    <row r="8" spans="1:7" x14ac:dyDescent="0.3">
      <c r="A8" t="s">
        <v>158</v>
      </c>
      <c r="B8">
        <f>COUNTIFS(Clean_Sales[Date],"&gt;="&amp;B3,Clean_Sales[Date],"&lt;="&amp;B4)</f>
        <v>27</v>
      </c>
    </row>
    <row r="9" spans="1:7" x14ac:dyDescent="0.3">
      <c r="A9" s="24" t="s">
        <v>163</v>
      </c>
      <c r="B9" s="24">
        <f>COUNTIFS(Clean_Sales[Date],"&gt;="&amp;B3,Clean_Sales[Date],"&lt;="&amp;B4,Clean_Sales[Status],"delivered")</f>
        <v>18</v>
      </c>
    </row>
    <row r="10" spans="1:7" x14ac:dyDescent="0.3">
      <c r="A10" t="s">
        <v>159</v>
      </c>
      <c r="B10">
        <f>COUNTIFS(Clean_Sales[Date],"&gt;="&amp;B3,Clean_Sales[Date],"&lt;="&amp;B4,Clean_Sales[Status],"pending")</f>
        <v>6</v>
      </c>
    </row>
    <row r="11" spans="1:7" x14ac:dyDescent="0.3">
      <c r="A11" s="24" t="s">
        <v>160</v>
      </c>
      <c r="B11" s="24">
        <f>COUNTIFS(Clean_Sales[Status],"cancelled")</f>
        <v>99</v>
      </c>
    </row>
    <row r="12" spans="1:7" x14ac:dyDescent="0.3">
      <c r="A12" t="s">
        <v>174</v>
      </c>
      <c r="B12" t="str">
        <f>IFERROR(INDEX(Clean_Sales[Salesman_Name],MATCH(_xlfn.MAXIFS(Clean_Sales[Total_Sales],Clean_Sales[Date],"&gt;="&amp;B3,Clean_Sales[Date],"&lt;="&amp;B4),Clean_Sales[Total_Sales],0)),"No Data")</f>
        <v>Priya Sharma</v>
      </c>
    </row>
    <row r="13" spans="1:7" x14ac:dyDescent="0.3">
      <c r="A13" s="24" t="s">
        <v>175</v>
      </c>
      <c r="B13" s="24" t="str">
        <f>IFERROR(INDEX(Clean_Sales[Product],MATCH(_xlfn.MAXIFS(Clean_Sales[Total_Sales],Clean_Sales[Date],"&gt;="&amp;B3,Clean_Sales[Date],"&lt;="&amp;B4),Clean_Sales[Total_Sales],0)),"No Data")</f>
        <v>Ariel</v>
      </c>
    </row>
    <row r="14" spans="1:7" x14ac:dyDescent="0.3">
      <c r="A14" t="s">
        <v>176</v>
      </c>
      <c r="B14" t="str">
        <f>IFERROR(INDEX(Clean_Sales[Region],MATCH(_xlfn.MAXIFS(Clean_Sales[Total_Sales],Clean_Sales[Date],"&gt;="&amp;B3,Clean_Sales[Date],"&lt;="&amp;B4),Clean_Sales[Total_Sales],0)),"No Data")</f>
        <v>North</v>
      </c>
    </row>
    <row r="16" spans="1:7" x14ac:dyDescent="0.3">
      <c r="A16" s="21" t="s">
        <v>177</v>
      </c>
      <c r="B16" s="21" t="s">
        <v>178</v>
      </c>
    </row>
    <row r="17" spans="1:2" x14ac:dyDescent="0.3">
      <c r="A17" s="22" t="s">
        <v>53</v>
      </c>
      <c r="B17" s="23">
        <f>SUMIFS(Clean_Sales[Total_Sales],Clean_Sales[Salesman_Name],A17,Clean_Sales[Date],"&gt;="&amp;B3,Clean_Sales[Date],"&lt;="&amp;B4)</f>
        <v>0</v>
      </c>
    </row>
    <row r="18" spans="1:2" x14ac:dyDescent="0.3">
      <c r="A18" s="22" t="s">
        <v>34</v>
      </c>
      <c r="B18" s="23">
        <f>SUMIFS(Clean_Sales[Total_Sales],Clean_Sales[Salesman_Name],A18,Clean_Sales[Date],"&gt;="&amp;B4,Clean_Sales[Date],"&lt;="&amp;B5)</f>
        <v>0</v>
      </c>
    </row>
    <row r="19" spans="1:2" x14ac:dyDescent="0.3">
      <c r="A19" s="22" t="s">
        <v>11</v>
      </c>
      <c r="B19" s="23">
        <f>SUMIFS(Clean_Sales[Total_Sales],Clean_Sales[Salesman_Name],A19,Clean_Sales[Date],"&gt;="&amp;B5,Clean_Sales[Date],"&lt;="&amp;B6)</f>
        <v>0</v>
      </c>
    </row>
    <row r="20" spans="1:2" x14ac:dyDescent="0.3">
      <c r="A20" s="22" t="s">
        <v>36</v>
      </c>
      <c r="B20" s="23">
        <f>SUMIFS(Clean_Sales[Total_Sales],Clean_Sales[Salesman_Name],A20,Clean_Sales[Date],"&gt;="&amp;B6,Clean_Sales[Date],"&lt;="&amp;B7)</f>
        <v>0</v>
      </c>
    </row>
    <row r="21" spans="1:2" x14ac:dyDescent="0.3">
      <c r="A21" s="22" t="s">
        <v>25</v>
      </c>
      <c r="B21" s="23">
        <f>SUMIFS(Clean_Sales[Total_Sales],Clean_Sales[Salesman_Name],A21,Clean_Sales[Date],"&gt;="&amp;B7,Clean_Sales[Date],"&lt;="&amp;B8)</f>
        <v>0</v>
      </c>
    </row>
    <row r="22" spans="1:2" x14ac:dyDescent="0.3">
      <c r="A22" s="22" t="s">
        <v>56</v>
      </c>
      <c r="B22" s="23">
        <f>SUMIFS(Clean_Sales[Total_Sales],Clean_Sales[Salesman_Name],A22,Clean_Sales[Date],"&gt;="&amp;B8,Clean_Sales[Date],"&lt;="&amp;B9)</f>
        <v>0</v>
      </c>
    </row>
    <row r="23" spans="1:2" x14ac:dyDescent="0.3">
      <c r="A23" s="22" t="s">
        <v>20</v>
      </c>
      <c r="B23" s="23">
        <f>SUMIFS(Clean_Sales[Total_Sales],Clean_Sales[Salesman_Name],A23,Clean_Sales[Date],"&gt;="&amp;B9,Clean_Sales[Date],"&lt;="&amp;B10)</f>
        <v>0</v>
      </c>
    </row>
    <row r="24" spans="1:2" x14ac:dyDescent="0.3">
      <c r="A24" s="22" t="s">
        <v>18</v>
      </c>
      <c r="B24" s="23">
        <f>SUMIFS(Clean_Sales[Total_Sales],Clean_Sales[Salesman_Name],A24,Clean_Sales[Date],"&gt;="&amp;B10,Clean_Sales[Date],"&lt;="&amp;B11)</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3650-BED1-490D-B384-224804672238}">
  <sheetPr>
    <tabColor rgb="FF0070C0"/>
  </sheetPr>
  <dimension ref="A1:B33"/>
  <sheetViews>
    <sheetView tabSelected="1" workbookViewId="0">
      <selection activeCell="B7" sqref="B7"/>
    </sheetView>
  </sheetViews>
  <sheetFormatPr defaultRowHeight="14.4" x14ac:dyDescent="0.3"/>
  <cols>
    <col min="1" max="1" width="27.109375" customWidth="1"/>
    <col min="2" max="2" width="12.88671875" bestFit="1" customWidth="1"/>
  </cols>
  <sheetData>
    <row r="1" spans="1:2" ht="21" x14ac:dyDescent="0.4">
      <c r="A1" s="11" t="s">
        <v>153</v>
      </c>
    </row>
    <row r="2" spans="1:2" ht="18" x14ac:dyDescent="0.35">
      <c r="A2" s="10" t="s">
        <v>180</v>
      </c>
    </row>
    <row r="3" spans="1:2" x14ac:dyDescent="0.3">
      <c r="A3" t="s">
        <v>190</v>
      </c>
      <c r="B3" s="9">
        <v>45658</v>
      </c>
    </row>
    <row r="4" spans="1:2" x14ac:dyDescent="0.3">
      <c r="A4" t="s">
        <v>191</v>
      </c>
      <c r="B4" s="9">
        <v>45688</v>
      </c>
    </row>
    <row r="6" spans="1:2" x14ac:dyDescent="0.3">
      <c r="A6" s="33" t="s">
        <v>181</v>
      </c>
      <c r="B6" s="33" t="s">
        <v>156</v>
      </c>
    </row>
    <row r="7" spans="1:2" x14ac:dyDescent="0.3">
      <c r="A7" s="30" t="s">
        <v>182</v>
      </c>
      <c r="B7" s="31">
        <f>SUMIFS(Clean_Sales[Total_Sales],Clean_Sales[Status],"delivered",Clean_Sales[Date],"&gt;="&amp;B3,Clean_Sales[Date],"&lt;="&amp;B4)</f>
        <v>266858.18000000011</v>
      </c>
    </row>
    <row r="8" spans="1:2" x14ac:dyDescent="0.3">
      <c r="A8" s="26" t="s">
        <v>158</v>
      </c>
      <c r="B8" s="26">
        <f>COUNTIFS(Clean_Sales[Date],"&gt;="&amp;B3,Clean_Sales[Date],"&lt;="&amp;B4)</f>
        <v>104</v>
      </c>
    </row>
    <row r="9" spans="1:2" x14ac:dyDescent="0.3">
      <c r="A9" s="30" t="s">
        <v>163</v>
      </c>
      <c r="B9" s="30">
        <f>COUNTIFS(Clean_Sales[Status],"delivered")</f>
        <v>298</v>
      </c>
    </row>
    <row r="10" spans="1:2" x14ac:dyDescent="0.3">
      <c r="A10" s="26" t="s">
        <v>159</v>
      </c>
      <c r="B10" s="26">
        <f>COUNTIFS(Clean_Sales[Status],"pending")</f>
        <v>118</v>
      </c>
    </row>
    <row r="11" spans="1:2" x14ac:dyDescent="0.3">
      <c r="A11" s="30" t="s">
        <v>160</v>
      </c>
      <c r="B11" s="30">
        <f>COUNTIFS(Clean_Sales[Status],"cancelled")</f>
        <v>99</v>
      </c>
    </row>
    <row r="12" spans="1:2" x14ac:dyDescent="0.3">
      <c r="A12" s="26" t="s">
        <v>183</v>
      </c>
      <c r="B12" s="27">
        <f>IFERROR(B9/B8,0)</f>
        <v>2.8653846153846154</v>
      </c>
    </row>
    <row r="13" spans="1:2" x14ac:dyDescent="0.3">
      <c r="A13" s="30" t="s">
        <v>185</v>
      </c>
      <c r="B13" s="32">
        <f>IFERROR(B11/B8,0)</f>
        <v>0.95192307692307687</v>
      </c>
    </row>
    <row r="14" spans="1:2" x14ac:dyDescent="0.3">
      <c r="A14" s="26" t="s">
        <v>184</v>
      </c>
      <c r="B14" s="23">
        <f>IFERROR(B7/B9,0)</f>
        <v>895.49724832214804</v>
      </c>
    </row>
    <row r="15" spans="1:2" x14ac:dyDescent="0.3">
      <c r="A15" s="30" t="s">
        <v>174</v>
      </c>
      <c r="B15" s="30" t="str">
        <f>IFERROR(INDEX(Clean_Sales[Salesman_Name],MATCH(_xlfn.MAXIFS(Clean_Sales[Total_Sales],Clean_Sales[Date],"&gt;="&amp;B3,Clean_Sales[Date],"&lt;="&amp;B4),Clean_Sales[Total_Sales],0)),"No Data")</f>
        <v>Ravi Kumar</v>
      </c>
    </row>
    <row r="16" spans="1:2" x14ac:dyDescent="0.3">
      <c r="A16" s="26" t="s">
        <v>175</v>
      </c>
      <c r="B16" s="26" t="str">
        <f>IFERROR(INDEX(Clean_Sales[Product],MATCH(_xlfn.MAXIFS(Clean_Sales[Total_Sales],Clean_Sales[Date],"&gt;="&amp;B3,Clean_Sales[Date],"&lt;="&amp;B4),Clean_Sales[Total_Sales],0)),"No Data")</f>
        <v>Ariel</v>
      </c>
    </row>
    <row r="17" spans="1:2" x14ac:dyDescent="0.3">
      <c r="A17" s="30" t="s">
        <v>176</v>
      </c>
      <c r="B17" s="30" t="str">
        <f>IFERROR(INDEX(Clean_Sales[Region],MATCH(_xlfn.MAXIFS(Clean_Sales[Total_Sales],Clean_Sales[Date],"&gt;="&amp;B3,Clean_Sales[Date],"&lt;="&amp;B4),Clean_Sales[Total_Sales],0)),"No Data")</f>
        <v>North</v>
      </c>
    </row>
    <row r="19" spans="1:2" x14ac:dyDescent="0.3">
      <c r="A19" s="28" t="s">
        <v>2</v>
      </c>
      <c r="B19" s="28" t="s">
        <v>186</v>
      </c>
    </row>
    <row r="20" spans="1:2" x14ac:dyDescent="0.3">
      <c r="A20" s="34" t="s">
        <v>30</v>
      </c>
      <c r="B20" s="35">
        <f>SUMIFS(Clean_Sales[Total_Sales],Clean_Sales[Region],A20,Clean_Sales[Date],"&gt;="&amp;B3,Clean_Sales[Date],"&lt;="&amp;B4)</f>
        <v>163904.65000000002</v>
      </c>
    </row>
    <row r="21" spans="1:2" x14ac:dyDescent="0.3">
      <c r="A21" s="26" t="s">
        <v>38</v>
      </c>
      <c r="B21" s="35">
        <f>SUMIFS(Clean_Sales[Total_Sales],Clean_Sales[Region],A21,Clean_Sales[Date],"&gt;="&amp;B4,Clean_Sales[Date],"&lt;="&amp;B5)</f>
        <v>0</v>
      </c>
    </row>
    <row r="22" spans="1:2" x14ac:dyDescent="0.3">
      <c r="A22" s="34" t="s">
        <v>19</v>
      </c>
      <c r="B22" s="35">
        <f>SUMIFS(Clean_Sales[Total_Sales],Clean_Sales[Region],A22,Clean_Sales[Date],"&gt;="&amp;B5,Clean_Sales[Date],"&lt;="&amp;B6)</f>
        <v>0</v>
      </c>
    </row>
    <row r="23" spans="1:2" x14ac:dyDescent="0.3">
      <c r="A23" s="26" t="s">
        <v>12</v>
      </c>
      <c r="B23" s="35">
        <f>SUMIFS(Clean_Sales[Total_Sales],Clean_Sales[Region],A23,Clean_Sales[Date],"&gt;="&amp;B6,Clean_Sales[Date],"&lt;="&amp;B7)</f>
        <v>0</v>
      </c>
    </row>
    <row r="24" spans="1:2" x14ac:dyDescent="0.3">
      <c r="A24" s="34" t="s">
        <v>45</v>
      </c>
      <c r="B24" s="35">
        <f>SUMIFS(Clean_Sales[Total_Sales],Clean_Sales[Region],A24,Clean_Sales[Date],"&gt;="&amp;B7,Clean_Sales[Date],"&lt;="&amp;B8)</f>
        <v>0</v>
      </c>
    </row>
    <row r="26" spans="1:2" x14ac:dyDescent="0.3">
      <c r="A26" s="29" t="s">
        <v>4</v>
      </c>
      <c r="B26" s="29" t="s">
        <v>178</v>
      </c>
    </row>
    <row r="27" spans="1:2" x14ac:dyDescent="0.3">
      <c r="A27" s="36" t="s">
        <v>44</v>
      </c>
      <c r="B27" s="37">
        <f>SUMIF(Clean_Sales[Category],"detergent",Clean_Sales[Total_Sales])</f>
        <v>1365061.43</v>
      </c>
    </row>
    <row r="28" spans="1:2" x14ac:dyDescent="0.3">
      <c r="A28" s="26" t="s">
        <v>32</v>
      </c>
      <c r="B28" s="23">
        <f>SUMIF(Clean_Sales[Category],"noodles",Clean_Sales[Total_Sales])</f>
        <v>112657.65999999997</v>
      </c>
    </row>
    <row r="29" spans="1:2" x14ac:dyDescent="0.3">
      <c r="A29" s="36" t="s">
        <v>14</v>
      </c>
      <c r="B29" s="37">
        <f>SUMIF(Clean_Sales[Category],"healthcare",Clean_Sales[Total_Sales])</f>
        <v>544584.73999999976</v>
      </c>
    </row>
    <row r="30" spans="1:2" x14ac:dyDescent="0.3">
      <c r="A30" s="26" t="s">
        <v>27</v>
      </c>
      <c r="B30" s="23">
        <f>SUMIF(Clean_Sales[Category],"personal care",Clean_Sales[Total_Sales])</f>
        <v>425429.23</v>
      </c>
    </row>
    <row r="31" spans="1:2" x14ac:dyDescent="0.3">
      <c r="A31" s="36" t="s">
        <v>22</v>
      </c>
      <c r="B31" s="37">
        <f>SUMIF(Clean_Sales[Category],"biscuits",Clean_Sales[Total_Sales])</f>
        <v>159123.75999999998</v>
      </c>
    </row>
    <row r="32" spans="1:2" x14ac:dyDescent="0.3">
      <c r="A32" s="26" t="s">
        <v>40</v>
      </c>
      <c r="B32" s="23">
        <f>SUMIF(Clean_Sales[Category],"dairy",Clean_Sales[Total_Sales])</f>
        <v>211627.86</v>
      </c>
    </row>
    <row r="33" spans="1:2" x14ac:dyDescent="0.3">
      <c r="A33" s="36" t="s">
        <v>50</v>
      </c>
      <c r="B33" s="37">
        <f>SUMIF(Clean_Sales[Category],"beverages",Clean_Sales[Total_Sales])</f>
        <v>199557.24000000005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3082-A8B1-4259-8E3F-221D206C509C}">
  <sheetPr>
    <tabColor rgb="FF00B050"/>
  </sheetPr>
  <dimension ref="T1:AB57"/>
  <sheetViews>
    <sheetView showGridLines="0" zoomScale="63" workbookViewId="0">
      <pane ySplit="1" topLeftCell="A2" activePane="bottomLeft" state="frozen"/>
      <selection pane="bottomLeft" activeCell="AH11" sqref="AH11"/>
    </sheetView>
  </sheetViews>
  <sheetFormatPr defaultRowHeight="14.4" x14ac:dyDescent="0.3"/>
  <cols>
    <col min="1" max="19" width="8.88671875" style="42"/>
    <col min="20" max="20" width="14.44140625" style="42" bestFit="1" customWidth="1"/>
    <col min="21" max="27" width="8.88671875" style="42"/>
    <col min="28" max="28" width="13.21875" style="42" bestFit="1" customWidth="1"/>
    <col min="29" max="16384" width="8.88671875" style="42"/>
  </cols>
  <sheetData>
    <row r="1" spans="28:28" s="43" customFormat="1" ht="42" customHeight="1" x14ac:dyDescent="0.3"/>
    <row r="2" spans="28:28" ht="19.95" customHeight="1" x14ac:dyDescent="0.3"/>
    <row r="6" spans="28:28" x14ac:dyDescent="0.3">
      <c r="AB6" s="44"/>
    </row>
    <row r="11" spans="28:28" ht="27.6" customHeight="1" x14ac:dyDescent="0.3"/>
    <row r="54" spans="20:20" x14ac:dyDescent="0.3">
      <c r="T54" s="44">
        <f>SUMIF(Clean_Sales[Status],"delivered",Clean_Sales[Total_Sales])</f>
        <v>1626793.7300000002</v>
      </c>
    </row>
    <row r="55" spans="20:20" x14ac:dyDescent="0.3">
      <c r="T55" s="42">
        <f>COUNTA(Clean_Sales[Date])</f>
        <v>527</v>
      </c>
    </row>
    <row r="56" spans="20:20" x14ac:dyDescent="0.3">
      <c r="T56" s="45">
        <f>COUNTIF(Clean_Sales[Status],"delivered")/COUNTA(Clean_Sales[Date])</f>
        <v>0.56546489563567359</v>
      </c>
    </row>
    <row r="57" spans="20:20" x14ac:dyDescent="0.3">
      <c r="T57" s="42" t="str" cm="1">
        <f t="array" ref="T57">INDEX(Clean_Sales[Salesman_Name],MATCH(MAX(SUMIF(Clean_Sales[Salesman_Name],Clean_Sales[Salesman_Name],Clean_Sales[Total_Sales])),SUMIF(Clean_Sales[Salesman_Name],Clean_Sales[Salesman_Name],Clean_Sales[Total_Sales]),0))</f>
        <v>Priya Sharma</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1C2C41-62FE-4593-BE04-32FC059815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Raw_Sales_Data</vt:lpstr>
      <vt:lpstr>Data_Dictionary</vt:lpstr>
      <vt:lpstr>README</vt:lpstr>
      <vt:lpstr>Clean_Data</vt:lpstr>
      <vt:lpstr>Pivot_Data</vt:lpstr>
      <vt:lpstr>Daiily_MIs_Report</vt:lpstr>
      <vt:lpstr>Weekly_MIS_Report</vt:lpstr>
      <vt:lpstr>Monthly_Wise_Report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Avinash Kumar</cp:lastModifiedBy>
  <cp:revision>0</cp:revision>
  <dcterms:created xsi:type="dcterms:W3CDTF">2026-05-22T03:23:03Z</dcterms:created>
  <dcterms:modified xsi:type="dcterms:W3CDTF">2026-05-28T08:03:11Z</dcterms:modified>
  <dc:language>en-US</dc:language>
</cp:coreProperties>
</file>